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Summary" sheetId="2" state="visible" r:id="rId2"/>
  </sheets>
  <definedNames>
    <definedName name="_xlnm._FilterDatabase" localSheetId="0" hidden="1">'Contacts'!$A$1:$I$140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  <sz val="12"/>
    </font>
    <font>
      <name val="Arial"/>
      <b val="1"/>
    </font>
    <font>
      <name val="Arial"/>
      <i val="1"/>
      <color rgb="00555555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noahpepper" TargetMode="External" Id="rId1" /><Relationship Type="http://schemas.openxmlformats.org/officeDocument/2006/relationships/hyperlink" Target="https://www.linkedin.com/in/kyle-boyden" TargetMode="External" Id="rId2" /><Relationship Type="http://schemas.openxmlformats.org/officeDocument/2006/relationships/hyperlink" Target="https://www.linkedin.com/in/chase-goodeill-89ba40b2" TargetMode="External" Id="rId3" /><Relationship Type="http://schemas.openxmlformats.org/officeDocument/2006/relationships/hyperlink" Target="https://www.linkedin.com/in/asafavi" TargetMode="External" Id="rId4" /><Relationship Type="http://schemas.openxmlformats.org/officeDocument/2006/relationships/hyperlink" Target="https://www.linkedin.com/in/kpreddy" TargetMode="External" Id="rId5" /><Relationship Type="http://schemas.openxmlformats.org/officeDocument/2006/relationships/hyperlink" Target="https://www.linkedin.com/in/1jf" TargetMode="External" Id="rId6" /><Relationship Type="http://schemas.openxmlformats.org/officeDocument/2006/relationships/hyperlink" Target="https://www.linkedin.com/in/jessicaannejackson" TargetMode="External" Id="rId7" /><Relationship Type="http://schemas.openxmlformats.org/officeDocument/2006/relationships/hyperlink" Target="https://www.linkedin.com/in/victor-rancour-51605a48" TargetMode="External" Id="rId8" /><Relationship Type="http://schemas.openxmlformats.org/officeDocument/2006/relationships/hyperlink" Target="https://www.linkedin.com/in/jeremyyamaguchi" TargetMode="External" Id="rId9" /><Relationship Type="http://schemas.openxmlformats.org/officeDocument/2006/relationships/hyperlink" Target="https://www.linkedin.com/in/jeff-dangelo-8a7107a" TargetMode="External" Id="rId10" /><Relationship Type="http://schemas.openxmlformats.org/officeDocument/2006/relationships/hyperlink" Target="https://www.linkedin.com/in/kuraniravi" TargetMode="External" Id="rId11" /><Relationship Type="http://schemas.openxmlformats.org/officeDocument/2006/relationships/hyperlink" Target="https://www.linkedin.com/in/jordanpevans" TargetMode="External" Id="rId12" /><Relationship Type="http://schemas.openxmlformats.org/officeDocument/2006/relationships/hyperlink" Target="https://www.linkedin.com/in/eric-r-calderon" TargetMode="External" Id="rId13" /><Relationship Type="http://schemas.openxmlformats.org/officeDocument/2006/relationships/hyperlink" Target="https://www.linkedin.com/in/gregshap" TargetMode="External" Id="rId14" /><Relationship Type="http://schemas.openxmlformats.org/officeDocument/2006/relationships/hyperlink" Target="https://www.linkedin.com/in/richardaoneill" TargetMode="External" Id="rId15" /><Relationship Type="http://schemas.openxmlformats.org/officeDocument/2006/relationships/hyperlink" Target="https://www.linkedin.com/in/seiwookkim" TargetMode="External" Id="rId16" /><Relationship Type="http://schemas.openxmlformats.org/officeDocument/2006/relationships/hyperlink" Target="https://www.linkedin.com/in/johnbwilson1" TargetMode="External" Id="rId17" /><Relationship Type="http://schemas.openxmlformats.org/officeDocument/2006/relationships/hyperlink" Target="https://www.linkedin.com/in/ian-smith-a948a13a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4" customWidth="1" min="3" max="3"/>
    <col width="44" customWidth="1" min="4" max="4"/>
    <col width="10" customWidth="1" min="5" max="5"/>
    <col width="32" customWidth="1" min="6" max="6"/>
    <col width="12" customWidth="1" min="7" max="7"/>
    <col width="16" customWidth="1" min="8" max="8"/>
    <col width="22" customWidth="1" min="9" max="9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Source Variant</t>
        </is>
      </c>
      <c r="F1" s="1" t="inlineStr">
        <is>
          <t>Email</t>
        </is>
      </c>
      <c r="G1" s="1" t="inlineStr">
        <is>
          <t>Email Confidence</t>
        </is>
      </c>
      <c r="H1" s="1" t="inlineStr">
        <is>
          <t>Phone</t>
        </is>
      </c>
      <c r="I1" s="1" t="inlineStr">
        <is>
          <t>Enrichment Status</t>
        </is>
      </c>
    </row>
    <row r="2">
      <c r="A2" s="2" t="inlineStr">
        <is>
          <t>Manolo Diaz Corrada</t>
        </is>
      </c>
      <c r="B2" s="2" t="inlineStr">
        <is>
          <t>President/Owner</t>
        </is>
      </c>
      <c r="C2" s="2" t="inlineStr">
        <is>
          <t>Bonneville Group (San Juan, PR)</t>
        </is>
      </c>
      <c r="D2" s="2" t="inlineStr"/>
      <c r="E2" s="2" t="inlineStr">
        <is>
          <t>A</t>
        </is>
      </c>
      <c r="F2" s="2" t="inlineStr"/>
      <c r="G2" s="2" t="inlineStr"/>
      <c r="H2" s="2" t="inlineStr"/>
      <c r="I2" s="2" t="inlineStr">
        <is>
          <t>not_run</t>
        </is>
      </c>
    </row>
    <row r="3">
      <c r="A3" s="2" t="inlineStr">
        <is>
          <t>Rob Brooks</t>
        </is>
      </c>
      <c r="B3" s="2" t="inlineStr">
        <is>
          <t>President</t>
        </is>
      </c>
      <c r="C3" s="2" t="inlineStr">
        <is>
          <t>Gary Air (Sarasota, FL)</t>
        </is>
      </c>
      <c r="D3" s="2" t="inlineStr"/>
      <c r="E3" s="2" t="inlineStr">
        <is>
          <t>A+B</t>
        </is>
      </c>
      <c r="F3" s="2" t="inlineStr"/>
      <c r="G3" s="2" t="inlineStr"/>
      <c r="H3" s="2" t="inlineStr"/>
      <c r="I3" s="2" t="inlineStr">
        <is>
          <t>not_run</t>
        </is>
      </c>
    </row>
    <row r="4">
      <c r="A4" s="2" t="inlineStr">
        <is>
          <t>Mike Bourgeois</t>
        </is>
      </c>
      <c r="B4" s="2" t="inlineStr">
        <is>
          <t>Co-owner</t>
        </is>
      </c>
      <c r="C4" s="2" t="inlineStr">
        <is>
          <t>Cardinal Heating &amp; Air (Kirkland, WA)</t>
        </is>
      </c>
      <c r="D4" s="2" t="inlineStr"/>
      <c r="E4" s="2" t="inlineStr">
        <is>
          <t>A+B</t>
        </is>
      </c>
      <c r="F4" s="2" t="inlineStr"/>
      <c r="G4" s="2" t="inlineStr"/>
      <c r="H4" s="2" t="inlineStr"/>
      <c r="I4" s="2" t="inlineStr">
        <is>
          <t>not_run</t>
        </is>
      </c>
    </row>
    <row r="5">
      <c r="A5" s="2" t="inlineStr">
        <is>
          <t>Sujith Shankar</t>
        </is>
      </c>
      <c r="B5" s="2" t="inlineStr">
        <is>
          <t>Co-Owner &amp; Managing Partner</t>
        </is>
      </c>
      <c r="C5" s="2" t="inlineStr">
        <is>
          <t>Kanara Equity Partners / Upland Auto Body (SoCal)</t>
        </is>
      </c>
      <c r="D5" s="2" t="inlineStr"/>
      <c r="E5" s="2" t="inlineStr">
        <is>
          <t>A</t>
        </is>
      </c>
      <c r="F5" s="2" t="inlineStr"/>
      <c r="G5" s="2" t="inlineStr"/>
      <c r="H5" s="2" t="inlineStr"/>
      <c r="I5" s="2" t="inlineStr">
        <is>
          <t>not_run</t>
        </is>
      </c>
    </row>
    <row r="6">
      <c r="A6" s="2" t="inlineStr">
        <is>
          <t>Greyson Boerner</t>
        </is>
      </c>
      <c r="B6" s="2" t="inlineStr">
        <is>
          <t>President</t>
        </is>
      </c>
      <c r="C6" s="2" t="inlineStr">
        <is>
          <t>Worship Interiors Group (CA)</t>
        </is>
      </c>
      <c r="D6" s="2" t="inlineStr"/>
      <c r="E6" s="2" t="inlineStr">
        <is>
          <t>A</t>
        </is>
      </c>
      <c r="F6" s="2" t="inlineStr"/>
      <c r="G6" s="2" t="inlineStr"/>
      <c r="H6" s="2" t="inlineStr"/>
      <c r="I6" s="2" t="inlineStr">
        <is>
          <t>not_run</t>
        </is>
      </c>
    </row>
    <row r="7">
      <c r="A7" s="2" t="inlineStr">
        <is>
          <t>Chibunna Chimezie</t>
        </is>
      </c>
      <c r="B7" s="2" t="inlineStr">
        <is>
          <t>Operator</t>
        </is>
      </c>
      <c r="C7" s="2" t="inlineStr">
        <is>
          <t>Veterans Room (TX)</t>
        </is>
      </c>
      <c r="D7" s="2" t="inlineStr"/>
      <c r="E7" s="2" t="inlineStr">
        <is>
          <t>A</t>
        </is>
      </c>
      <c r="F7" s="2" t="inlineStr"/>
      <c r="G7" s="2" t="inlineStr"/>
      <c r="H7" s="2" t="inlineStr"/>
      <c r="I7" s="2" t="inlineStr">
        <is>
          <t>not_run</t>
        </is>
      </c>
    </row>
    <row r="8">
      <c r="A8" s="2" t="inlineStr">
        <is>
          <t>Brian Jungles</t>
        </is>
      </c>
      <c r="B8" s="2" t="inlineStr">
        <is>
          <t>Owner</t>
        </is>
      </c>
      <c r="C8" s="2" t="inlineStr">
        <is>
          <t>City Publications Atlanta</t>
        </is>
      </c>
      <c r="D8" s="2" t="inlineStr"/>
      <c r="E8" s="2" t="inlineStr">
        <is>
          <t>A</t>
        </is>
      </c>
      <c r="F8" s="2" t="inlineStr"/>
      <c r="G8" s="2" t="inlineStr"/>
      <c r="H8" s="2" t="inlineStr"/>
      <c r="I8" s="2" t="inlineStr">
        <is>
          <t>not_run</t>
        </is>
      </c>
    </row>
    <row r="9">
      <c r="A9" s="2" t="inlineStr">
        <is>
          <t>Rob Belk</t>
        </is>
      </c>
      <c r="B9" s="2" t="inlineStr">
        <is>
          <t>CEO</t>
        </is>
      </c>
      <c r="C9" s="2" t="inlineStr">
        <is>
          <t>Sales Factory (Greensboro, NC)</t>
        </is>
      </c>
      <c r="D9" s="2" t="inlineStr"/>
      <c r="E9" s="2" t="inlineStr">
        <is>
          <t>A</t>
        </is>
      </c>
      <c r="F9" s="2" t="inlineStr"/>
      <c r="G9" s="2" t="inlineStr"/>
      <c r="H9" s="2" t="inlineStr"/>
      <c r="I9" s="2" t="inlineStr">
        <is>
          <t>not_run</t>
        </is>
      </c>
    </row>
    <row r="10">
      <c r="A10" s="2" t="inlineStr">
        <is>
          <t>Tom McCormick</t>
        </is>
      </c>
      <c r="B10" s="2" t="inlineStr">
        <is>
          <t>President</t>
        </is>
      </c>
      <c r="C10" s="2" t="inlineStr">
        <is>
          <t>Quality Cutting &amp; Coring (Twin Cities)</t>
        </is>
      </c>
      <c r="D10" s="2" t="inlineStr"/>
      <c r="E10" s="2" t="inlineStr">
        <is>
          <t>A</t>
        </is>
      </c>
      <c r="F10" s="2" t="inlineStr"/>
      <c r="G10" s="2" t="inlineStr"/>
      <c r="H10" s="2" t="inlineStr"/>
      <c r="I10" s="2" t="inlineStr">
        <is>
          <t>not_run</t>
        </is>
      </c>
    </row>
    <row r="11">
      <c r="A11" s="2" t="inlineStr">
        <is>
          <t>Alan Turkus</t>
        </is>
      </c>
      <c r="B11" s="2" t="inlineStr">
        <is>
          <t>CEO</t>
        </is>
      </c>
      <c r="C11" s="2" t="inlineStr">
        <is>
          <t>Interim Healthcare of the Twin Cities</t>
        </is>
      </c>
      <c r="D11" s="2" t="inlineStr"/>
      <c r="E11" s="2" t="inlineStr">
        <is>
          <t>A+B</t>
        </is>
      </c>
      <c r="F11" s="2" t="inlineStr"/>
      <c r="G11" s="2" t="inlineStr"/>
      <c r="H11" s="2" t="inlineStr"/>
      <c r="I11" s="2" t="inlineStr">
        <is>
          <t>not_run</t>
        </is>
      </c>
    </row>
    <row r="12">
      <c r="A12" s="2" t="inlineStr">
        <is>
          <t>Justus Luttig</t>
        </is>
      </c>
      <c r="B12" s="2" t="inlineStr">
        <is>
          <t>Owner</t>
        </is>
      </c>
      <c r="C12" s="2" t="inlineStr">
        <is>
          <t>Copeland Home Services + First American Plumbing (Dallas)</t>
        </is>
      </c>
      <c r="D12" s="2" t="inlineStr"/>
      <c r="E12" s="2" t="inlineStr">
        <is>
          <t>A+B</t>
        </is>
      </c>
      <c r="F12" s="2" t="inlineStr"/>
      <c r="G12" s="2" t="inlineStr"/>
      <c r="H12" s="2" t="inlineStr"/>
      <c r="I12" s="2" t="inlineStr">
        <is>
          <t>not_run</t>
        </is>
      </c>
    </row>
    <row r="13">
      <c r="A13" s="2" t="inlineStr">
        <is>
          <t>Truc Nguyen</t>
        </is>
      </c>
      <c r="B13" s="2" t="inlineStr">
        <is>
          <t>Owner</t>
        </is>
      </c>
      <c r="C13" s="2" t="inlineStr">
        <is>
          <t>Two nail salons (Austin)</t>
        </is>
      </c>
      <c r="D13" s="2" t="inlineStr"/>
      <c r="E13" s="2" t="inlineStr">
        <is>
          <t>A</t>
        </is>
      </c>
      <c r="F13" s="2" t="inlineStr"/>
      <c r="G13" s="2" t="inlineStr"/>
      <c r="H13" s="2" t="inlineStr"/>
      <c r="I13" s="2" t="inlineStr">
        <is>
          <t>not_run</t>
        </is>
      </c>
    </row>
    <row r="14">
      <c r="A14" s="2" t="inlineStr">
        <is>
          <t>Zack Mutnik</t>
        </is>
      </c>
      <c r="B14" s="2" t="inlineStr">
        <is>
          <t>President</t>
        </is>
      </c>
      <c r="C14" s="2" t="inlineStr">
        <is>
          <t>Mutt's Electric (North Port, FL)</t>
        </is>
      </c>
      <c r="D14" s="2" t="inlineStr"/>
      <c r="E14" s="2" t="inlineStr">
        <is>
          <t>A</t>
        </is>
      </c>
      <c r="F14" s="2" t="inlineStr"/>
      <c r="G14" s="2" t="inlineStr"/>
      <c r="H14" s="2" t="inlineStr"/>
      <c r="I14" s="2" t="inlineStr">
        <is>
          <t>not_run</t>
        </is>
      </c>
    </row>
    <row r="15">
      <c r="A15" s="2" t="inlineStr">
        <is>
          <t>Alicia Powers</t>
        </is>
      </c>
      <c r="B15" s="2" t="inlineStr">
        <is>
          <t>President</t>
        </is>
      </c>
      <c r="C15" s="2" t="inlineStr">
        <is>
          <t>Price Builders (San Diego)</t>
        </is>
      </c>
      <c r="D15" s="2" t="inlineStr"/>
      <c r="E15" s="2" t="inlineStr">
        <is>
          <t>A</t>
        </is>
      </c>
      <c r="F15" s="2" t="inlineStr"/>
      <c r="G15" s="2" t="inlineStr"/>
      <c r="H15" s="2" t="inlineStr"/>
      <c r="I15" s="2" t="inlineStr">
        <is>
          <t>not_run</t>
        </is>
      </c>
    </row>
    <row r="16">
      <c r="A16" s="2" t="inlineStr">
        <is>
          <t>Brendan Duebner</t>
        </is>
      </c>
      <c r="B16" s="2" t="inlineStr">
        <is>
          <t>President</t>
        </is>
      </c>
      <c r="C16" s="2" t="inlineStr">
        <is>
          <t>IT Total Care (Foster City, CA)</t>
        </is>
      </c>
      <c r="D16" s="2" t="inlineStr"/>
      <c r="E16" s="2" t="inlineStr">
        <is>
          <t>A+B</t>
        </is>
      </c>
      <c r="F16" s="2" t="inlineStr"/>
      <c r="G16" s="2" t="inlineStr"/>
      <c r="H16" s="2" t="inlineStr"/>
      <c r="I16" s="2" t="inlineStr">
        <is>
          <t>not_run</t>
        </is>
      </c>
    </row>
    <row r="17">
      <c r="A17" s="2" t="inlineStr">
        <is>
          <t>Joe Wynn</t>
        </is>
      </c>
      <c r="B17" s="2" t="inlineStr">
        <is>
          <t>Owner &amp; President</t>
        </is>
      </c>
      <c r="C17" s="2" t="inlineStr">
        <is>
          <t>Surgical Specialties of Georgia</t>
        </is>
      </c>
      <c r="D17" s="2" t="inlineStr"/>
      <c r="E17" s="2" t="inlineStr">
        <is>
          <t>A</t>
        </is>
      </c>
      <c r="F17" s="2" t="inlineStr"/>
      <c r="G17" s="2" t="inlineStr"/>
      <c r="H17" s="2" t="inlineStr"/>
      <c r="I17" s="2" t="inlineStr">
        <is>
          <t>not_run</t>
        </is>
      </c>
    </row>
    <row r="18">
      <c r="A18" s="2" t="inlineStr">
        <is>
          <t>Ana Lia Barragan</t>
        </is>
      </c>
      <c r="B18" s="2" t="inlineStr">
        <is>
          <t>Owner</t>
        </is>
      </c>
      <c r="C18" s="2" t="inlineStr">
        <is>
          <t>Kelly Green (Seattle)</t>
        </is>
      </c>
      <c r="D18" s="2" t="inlineStr"/>
      <c r="E18" s="2" t="inlineStr">
        <is>
          <t>A+B</t>
        </is>
      </c>
      <c r="F18" s="2" t="inlineStr"/>
      <c r="G18" s="2" t="inlineStr"/>
      <c r="H18" s="2" t="inlineStr"/>
      <c r="I18" s="2" t="inlineStr">
        <is>
          <t>not_run</t>
        </is>
      </c>
    </row>
    <row r="19">
      <c r="A19" s="2" t="inlineStr">
        <is>
          <t>Eric Donahue</t>
        </is>
      </c>
      <c r="B19" s="2" t="inlineStr">
        <is>
          <t>CEO/President</t>
        </is>
      </c>
      <c r="C19" s="2" t="inlineStr">
        <is>
          <t>Peninsula Paving (Hampton, VA)</t>
        </is>
      </c>
      <c r="D19" s="2" t="inlineStr"/>
      <c r="E19" s="2" t="inlineStr">
        <is>
          <t>A</t>
        </is>
      </c>
      <c r="F19" s="2" t="inlineStr"/>
      <c r="G19" s="2" t="inlineStr"/>
      <c r="H19" s="2" t="inlineStr"/>
      <c r="I19" s="2" t="inlineStr">
        <is>
          <t>not_run</t>
        </is>
      </c>
    </row>
    <row r="20">
      <c r="A20" s="2" t="inlineStr">
        <is>
          <t>Megan McGee</t>
        </is>
      </c>
      <c r="B20" s="2" t="inlineStr">
        <is>
          <t>Owner</t>
        </is>
      </c>
      <c r="C20" s="2" t="inlineStr">
        <is>
          <t>Virginia Guesthouses (Charlottesville)</t>
        </is>
      </c>
      <c r="D20" s="2" t="inlineStr"/>
      <c r="E20" s="2" t="inlineStr">
        <is>
          <t>A+B</t>
        </is>
      </c>
      <c r="F20" s="2" t="inlineStr"/>
      <c r="G20" s="2" t="inlineStr"/>
      <c r="H20" s="2" t="inlineStr"/>
      <c r="I20" s="2" t="inlineStr">
        <is>
          <t>not_run</t>
        </is>
      </c>
    </row>
    <row r="21">
      <c r="A21" s="2" t="inlineStr">
        <is>
          <t>Joe Springsteen</t>
        </is>
      </c>
      <c r="B21" s="2" t="inlineStr">
        <is>
          <t>"Chief Duck"</t>
        </is>
      </c>
      <c r="C21" s="2" t="inlineStr">
        <is>
          <t>Mallard Systems (Orlando)</t>
        </is>
      </c>
      <c r="D21" s="2" t="inlineStr"/>
      <c r="E21" s="2" t="inlineStr">
        <is>
          <t>A</t>
        </is>
      </c>
      <c r="F21" s="2" t="inlineStr"/>
      <c r="G21" s="2" t="inlineStr"/>
      <c r="H21" s="2" t="inlineStr"/>
      <c r="I21" s="2" t="inlineStr">
        <is>
          <t>not_run</t>
        </is>
      </c>
    </row>
    <row r="22">
      <c r="A22" s="2" t="inlineStr">
        <is>
          <t>Scott Crosby</t>
        </is>
      </c>
      <c r="B22" s="2" t="inlineStr">
        <is>
          <t>Co-Owner</t>
        </is>
      </c>
      <c r="C22" s="2" t="inlineStr">
        <is>
          <t>American Services (St. Louis)</t>
        </is>
      </c>
      <c r="D22" s="2" t="inlineStr"/>
      <c r="E22" s="2" t="inlineStr">
        <is>
          <t>A</t>
        </is>
      </c>
      <c r="F22" s="2" t="inlineStr"/>
      <c r="G22" s="2" t="inlineStr"/>
      <c r="H22" s="2" t="inlineStr"/>
      <c r="I22" s="2" t="inlineStr">
        <is>
          <t>not_run</t>
        </is>
      </c>
    </row>
    <row r="23">
      <c r="A23" s="2" t="inlineStr">
        <is>
          <t>George Stern</t>
        </is>
      </c>
      <c r="B23" s="2" t="inlineStr">
        <is>
          <t>Owner</t>
        </is>
      </c>
      <c r="C23" s="2" t="inlineStr">
        <is>
          <t>Growth Marketing Media (Denver)</t>
        </is>
      </c>
      <c r="D23" s="2" t="inlineStr"/>
      <c r="E23" s="2" t="inlineStr">
        <is>
          <t>A</t>
        </is>
      </c>
      <c r="F23" s="2" t="inlineStr"/>
      <c r="G23" s="2" t="inlineStr"/>
      <c r="H23" s="2" t="inlineStr"/>
      <c r="I23" s="2" t="inlineStr">
        <is>
          <t>not_run</t>
        </is>
      </c>
    </row>
    <row r="24">
      <c r="A24" s="2" t="inlineStr">
        <is>
          <t>Ruchik Gandhi</t>
        </is>
      </c>
      <c r="B24" s="2" t="inlineStr">
        <is>
          <t>Owner &amp; CEO</t>
        </is>
      </c>
      <c r="C24" s="2" t="inlineStr">
        <is>
          <t>Window25 (NJ)</t>
        </is>
      </c>
      <c r="D24" s="2" t="inlineStr"/>
      <c r="E24" s="2" t="inlineStr">
        <is>
          <t>A</t>
        </is>
      </c>
      <c r="F24" s="2" t="inlineStr"/>
      <c r="G24" s="2" t="inlineStr"/>
      <c r="H24" s="2" t="inlineStr"/>
      <c r="I24" s="2" t="inlineStr">
        <is>
          <t>not_run</t>
        </is>
      </c>
    </row>
    <row r="25">
      <c r="A25" s="2" t="inlineStr">
        <is>
          <t>Danyelle Nys</t>
        </is>
      </c>
      <c r="B25" s="2" t="inlineStr">
        <is>
          <t>Owner</t>
        </is>
      </c>
      <c r="C25" s="2" t="inlineStr">
        <is>
          <t>Decorus Home Staging (Seattle)</t>
        </is>
      </c>
      <c r="D25" s="2" t="inlineStr"/>
      <c r="E25" s="2" t="inlineStr">
        <is>
          <t>A</t>
        </is>
      </c>
      <c r="F25" s="2" t="inlineStr"/>
      <c r="G25" s="2" t="inlineStr"/>
      <c r="H25" s="2" t="inlineStr"/>
      <c r="I25" s="2" t="inlineStr">
        <is>
          <t>not_run</t>
        </is>
      </c>
    </row>
    <row r="26">
      <c r="A26" s="2" t="inlineStr">
        <is>
          <t>Raj Kankaria</t>
        </is>
      </c>
      <c r="B26" s="2" t="inlineStr">
        <is>
          <t>Owner &amp; President</t>
        </is>
      </c>
      <c r="C26" s="2" t="inlineStr">
        <is>
          <t>Lone Star Attorney Service (Houston)</t>
        </is>
      </c>
      <c r="D26" s="2" t="inlineStr"/>
      <c r="E26" s="2" t="inlineStr">
        <is>
          <t>A</t>
        </is>
      </c>
      <c r="F26" s="2" t="inlineStr"/>
      <c r="G26" s="2" t="inlineStr"/>
      <c r="H26" s="2" t="inlineStr"/>
      <c r="I26" s="2" t="inlineStr">
        <is>
          <t>not_run</t>
        </is>
      </c>
    </row>
    <row r="27">
      <c r="A27" s="2" t="inlineStr">
        <is>
          <t>Jesus Wong</t>
        </is>
      </c>
      <c r="B27" s="2" t="inlineStr">
        <is>
          <t>President &amp; CEO</t>
        </is>
      </c>
      <c r="C27" s="2" t="inlineStr">
        <is>
          <t>Gear re-Store (Denver)</t>
        </is>
      </c>
      <c r="D27" s="2" t="inlineStr"/>
      <c r="E27" s="2" t="inlineStr">
        <is>
          <t>A</t>
        </is>
      </c>
      <c r="F27" s="2" t="inlineStr"/>
      <c r="G27" s="2" t="inlineStr"/>
      <c r="H27" s="2" t="inlineStr"/>
      <c r="I27" s="2" t="inlineStr">
        <is>
          <t>not_run</t>
        </is>
      </c>
    </row>
    <row r="28">
      <c r="A28" s="2" t="inlineStr">
        <is>
          <t>Sarah Chiles</t>
        </is>
      </c>
      <c r="B28" s="2" t="inlineStr">
        <is>
          <t>Partner</t>
        </is>
      </c>
      <c r="C28" s="2" t="inlineStr">
        <is>
          <t>STM Holdings / Aspen Total Automotive</t>
        </is>
      </c>
      <c r="D28" s="2" t="inlineStr"/>
      <c r="E28" s="2" t="inlineStr">
        <is>
          <t>A</t>
        </is>
      </c>
      <c r="F28" s="2" t="inlineStr"/>
      <c r="G28" s="2" t="inlineStr"/>
      <c r="H28" s="2" t="inlineStr"/>
      <c r="I28" s="2" t="inlineStr">
        <is>
          <t>not_run</t>
        </is>
      </c>
    </row>
    <row r="29">
      <c r="A29" s="2" t="inlineStr">
        <is>
          <t>Matthew Ferguson</t>
        </is>
      </c>
      <c r="B29" s="2" t="inlineStr">
        <is>
          <t>Founding Partner</t>
        </is>
      </c>
      <c r="C29" s="2" t="inlineStr">
        <is>
          <t>STM Holdings / Aspen Total Automotive</t>
        </is>
      </c>
      <c r="D29" s="2" t="inlineStr"/>
      <c r="E29" s="2" t="inlineStr">
        <is>
          <t>A</t>
        </is>
      </c>
      <c r="F29" s="2" t="inlineStr"/>
      <c r="G29" s="2" t="inlineStr"/>
      <c r="H29" s="2" t="inlineStr"/>
      <c r="I29" s="2" t="inlineStr">
        <is>
          <t>not_run</t>
        </is>
      </c>
    </row>
    <row r="30">
      <c r="A30" s="2" t="inlineStr">
        <is>
          <t>Kin Sio</t>
        </is>
      </c>
      <c r="B30" s="2" t="inlineStr">
        <is>
          <t>CEO</t>
        </is>
      </c>
      <c r="C30" s="2" t="inlineStr">
        <is>
          <t>Lights On Digital (Honolulu)</t>
        </is>
      </c>
      <c r="D30" s="2" t="inlineStr"/>
      <c r="E30" s="2" t="inlineStr">
        <is>
          <t>A</t>
        </is>
      </c>
      <c r="F30" s="2" t="inlineStr"/>
      <c r="G30" s="2" t="inlineStr"/>
      <c r="H30" s="2" t="inlineStr"/>
      <c r="I30" s="2" t="inlineStr">
        <is>
          <t>not_run</t>
        </is>
      </c>
    </row>
    <row r="31">
      <c r="A31" s="2" t="inlineStr">
        <is>
          <t>Lindsay Buckheit</t>
        </is>
      </c>
      <c r="B31" s="2" t="inlineStr">
        <is>
          <t>Owner</t>
        </is>
      </c>
      <c r="C31" s="2" t="inlineStr">
        <is>
          <t>Collective Creative Outdoors / Holdsworth &amp; Nicholas (TX)</t>
        </is>
      </c>
      <c r="D31" s="2" t="inlineStr"/>
      <c r="E31" s="2" t="inlineStr">
        <is>
          <t>A</t>
        </is>
      </c>
      <c r="F31" s="2" t="inlineStr"/>
      <c r="G31" s="2" t="inlineStr"/>
      <c r="H31" s="2" t="inlineStr"/>
      <c r="I31" s="2" t="inlineStr">
        <is>
          <t>not_run</t>
        </is>
      </c>
    </row>
    <row r="32">
      <c r="A32" s="2" t="inlineStr">
        <is>
          <t>Kevin Black</t>
        </is>
      </c>
      <c r="B32" s="2" t="inlineStr">
        <is>
          <t>President</t>
        </is>
      </c>
      <c r="C32" s="2" t="inlineStr">
        <is>
          <t>Holdsworth &amp; Nicholas (San Antonio)</t>
        </is>
      </c>
      <c r="D32" s="2" t="inlineStr"/>
      <c r="E32" s="2" t="inlineStr">
        <is>
          <t>A</t>
        </is>
      </c>
      <c r="F32" s="2" t="inlineStr"/>
      <c r="G32" s="2" t="inlineStr"/>
      <c r="H32" s="2" t="inlineStr"/>
      <c r="I32" s="2" t="inlineStr">
        <is>
          <t>not_run</t>
        </is>
      </c>
    </row>
    <row r="33">
      <c r="A33" s="2" t="inlineStr">
        <is>
          <t>Shaugn Lindley</t>
        </is>
      </c>
      <c r="B33" s="2" t="inlineStr">
        <is>
          <t>Owner</t>
        </is>
      </c>
      <c r="C33" s="2" t="inlineStr">
        <is>
          <t>R&amp;R Lift (Kyle, TX)</t>
        </is>
      </c>
      <c r="D33" s="2" t="inlineStr"/>
      <c r="E33" s="2" t="inlineStr">
        <is>
          <t>A</t>
        </is>
      </c>
      <c r="F33" s="2" t="inlineStr"/>
      <c r="G33" s="2" t="inlineStr"/>
      <c r="H33" s="2" t="inlineStr"/>
      <c r="I33" s="2" t="inlineStr">
        <is>
          <t>not_run</t>
        </is>
      </c>
    </row>
    <row r="34">
      <c r="A34" s="2" t="inlineStr">
        <is>
          <t>Adam Salmen</t>
        </is>
      </c>
      <c r="B34" s="2" t="inlineStr">
        <is>
          <t>Group CEO</t>
        </is>
      </c>
      <c r="C34" s="2" t="inlineStr">
        <is>
          <t>UMECC (Cincinnati)</t>
        </is>
      </c>
      <c r="D34" s="2" t="inlineStr"/>
      <c r="E34" s="2" t="inlineStr">
        <is>
          <t>A</t>
        </is>
      </c>
      <c r="F34" s="2" t="inlineStr"/>
      <c r="G34" s="2" t="inlineStr"/>
      <c r="H34" s="2" t="inlineStr"/>
      <c r="I34" s="2" t="inlineStr">
        <is>
          <t>not_run</t>
        </is>
      </c>
    </row>
    <row r="35">
      <c r="A35" s="2" t="inlineStr">
        <is>
          <t>Nick Kerr</t>
        </is>
      </c>
      <c r="B35" s="2" t="inlineStr">
        <is>
          <t>Co-CEO</t>
        </is>
      </c>
      <c r="C35" s="2" t="inlineStr">
        <is>
          <t>HealthBridge (Long Island)</t>
        </is>
      </c>
      <c r="D35" s="2" t="inlineStr"/>
      <c r="E35" s="2" t="inlineStr">
        <is>
          <t>A</t>
        </is>
      </c>
      <c r="F35" s="2" t="inlineStr"/>
      <c r="G35" s="2" t="inlineStr"/>
      <c r="H35" s="2" t="inlineStr"/>
      <c r="I35" s="2" t="inlineStr">
        <is>
          <t>not_run</t>
        </is>
      </c>
    </row>
    <row r="36">
      <c r="A36" s="2" t="inlineStr">
        <is>
          <t>Shaquille Walker</t>
        </is>
      </c>
      <c r="B36" s="2" t="inlineStr">
        <is>
          <t>Co-CEO</t>
        </is>
      </c>
      <c r="C36" s="2" t="inlineStr">
        <is>
          <t>HealthBridge (Long Island)</t>
        </is>
      </c>
      <c r="D36" s="2" t="inlineStr"/>
      <c r="E36" s="2" t="inlineStr">
        <is>
          <t>A</t>
        </is>
      </c>
      <c r="F36" s="2" t="inlineStr"/>
      <c r="G36" s="2" t="inlineStr"/>
      <c r="H36" s="2" t="inlineStr"/>
      <c r="I36" s="2" t="inlineStr">
        <is>
          <t>not_run</t>
        </is>
      </c>
    </row>
    <row r="37">
      <c r="A37" s="2" t="inlineStr">
        <is>
          <t>Mike Joseph</t>
        </is>
      </c>
      <c r="B37" s="2" t="inlineStr">
        <is>
          <t>Founder &amp; CEO</t>
        </is>
      </c>
      <c r="C37" s="2" t="inlineStr">
        <is>
          <t>Saturday Landscapes (Kitson Landscape Mgmt, Santa Barbara)</t>
        </is>
      </c>
      <c r="D37" s="2" t="inlineStr"/>
      <c r="E37" s="2" t="inlineStr">
        <is>
          <t>A+B</t>
        </is>
      </c>
      <c r="F37" s="2" t="inlineStr"/>
      <c r="G37" s="2" t="inlineStr"/>
      <c r="H37" s="2" t="inlineStr"/>
      <c r="I37" s="2" t="inlineStr">
        <is>
          <t>not_run</t>
        </is>
      </c>
    </row>
    <row r="38">
      <c r="A38" s="2" t="inlineStr">
        <is>
          <t>Will Smith</t>
        </is>
      </c>
      <c r="B38" s="2" t="inlineStr">
        <is>
          <t>Owner &amp; Co-CEO</t>
        </is>
      </c>
      <c r="C38" s="2" t="inlineStr">
        <is>
          <t>Cincinnati Stoneworks</t>
        </is>
      </c>
      <c r="D38" s="2" t="inlineStr"/>
      <c r="E38" s="2" t="inlineStr">
        <is>
          <t>A</t>
        </is>
      </c>
      <c r="F38" s="2" t="inlineStr"/>
      <c r="G38" s="2" t="inlineStr"/>
      <c r="H38" s="2" t="inlineStr"/>
      <c r="I38" s="2" t="inlineStr">
        <is>
          <t>not_run</t>
        </is>
      </c>
    </row>
    <row r="39">
      <c r="A39" s="2" t="inlineStr">
        <is>
          <t>Michael Wackenhut</t>
        </is>
      </c>
      <c r="B39" s="2" t="inlineStr">
        <is>
          <t>Owner &amp; Co-CEO</t>
        </is>
      </c>
      <c r="C39" s="2" t="inlineStr">
        <is>
          <t>Cincinnati Stoneworks</t>
        </is>
      </c>
      <c r="D39" s="2" t="inlineStr"/>
      <c r="E39" s="2" t="inlineStr">
        <is>
          <t>A</t>
        </is>
      </c>
      <c r="F39" s="2" t="inlineStr"/>
      <c r="G39" s="2" t="inlineStr"/>
      <c r="H39" s="2" t="inlineStr"/>
      <c r="I39" s="2" t="inlineStr">
        <is>
          <t>not_run</t>
        </is>
      </c>
    </row>
    <row r="40">
      <c r="A40" s="2" t="inlineStr">
        <is>
          <t>Keith Burns</t>
        </is>
      </c>
      <c r="B40" s="2" t="inlineStr">
        <is>
          <t>CEO</t>
        </is>
      </c>
      <c r="C40" s="2" t="inlineStr">
        <is>
          <t>CyberData Pros</t>
        </is>
      </c>
      <c r="D40" s="2" t="inlineStr"/>
      <c r="E40" s="2" t="inlineStr">
        <is>
          <t>A</t>
        </is>
      </c>
      <c r="F40" s="2" t="inlineStr"/>
      <c r="G40" s="2" t="inlineStr"/>
      <c r="H40" s="2" t="inlineStr"/>
      <c r="I40" s="2" t="inlineStr">
        <is>
          <t>not_run</t>
        </is>
      </c>
    </row>
    <row r="41">
      <c r="A41" s="2" t="inlineStr">
        <is>
          <t>Justin Nihiser</t>
        </is>
      </c>
      <c r="B41" s="2" t="inlineStr">
        <is>
          <t>Managing Partner</t>
        </is>
      </c>
      <c r="C41" s="2" t="inlineStr">
        <is>
          <t>Wheelhouse / WonderPlay Brands (Kidcreate)</t>
        </is>
      </c>
      <c r="D41" s="2" t="inlineStr"/>
      <c r="E41" s="2" t="inlineStr">
        <is>
          <t>A</t>
        </is>
      </c>
      <c r="F41" s="2" t="inlineStr"/>
      <c r="G41" s="2" t="inlineStr"/>
      <c r="H41" s="2" t="inlineStr"/>
      <c r="I41" s="2" t="inlineStr">
        <is>
          <t>not_run</t>
        </is>
      </c>
    </row>
    <row r="42">
      <c r="A42" s="2" t="inlineStr">
        <is>
          <t>CiCi McMullen</t>
        </is>
      </c>
      <c r="B42" s="2" t="inlineStr">
        <is>
          <t>CEO</t>
        </is>
      </c>
      <c r="C42" s="2" t="inlineStr">
        <is>
          <t>HerScan / Alpine Crest Capital (Tampa)</t>
        </is>
      </c>
      <c r="D42" s="2" t="inlineStr"/>
      <c r="E42" s="2" t="inlineStr">
        <is>
          <t>A</t>
        </is>
      </c>
      <c r="F42" s="2" t="inlineStr"/>
      <c r="G42" s="2" t="inlineStr"/>
      <c r="H42" s="2" t="inlineStr"/>
      <c r="I42" s="2" t="inlineStr">
        <is>
          <t>not_run</t>
        </is>
      </c>
    </row>
    <row r="43">
      <c r="A43" s="2" t="inlineStr">
        <is>
          <t>Omar Garza</t>
        </is>
      </c>
      <c r="B43" s="2" t="inlineStr">
        <is>
          <t>CEO</t>
        </is>
      </c>
      <c r="C43" s="2" t="inlineStr">
        <is>
          <t>Sector 7 Energy / Saddle Ridge Capital (Houston)</t>
        </is>
      </c>
      <c r="D43" s="2" t="inlineStr"/>
      <c r="E43" s="2" t="inlineStr">
        <is>
          <t>A</t>
        </is>
      </c>
      <c r="F43" s="2" t="inlineStr"/>
      <c r="G43" s="2" t="inlineStr"/>
      <c r="H43" s="2" t="inlineStr"/>
      <c r="I43" s="2" t="inlineStr">
        <is>
          <t>not_run</t>
        </is>
      </c>
    </row>
    <row r="44">
      <c r="A44" s="2" t="inlineStr">
        <is>
          <t>Kyle Simmons</t>
        </is>
      </c>
      <c r="B44" s="2" t="inlineStr">
        <is>
          <t>CEO</t>
        </is>
      </c>
      <c r="C44" s="2" t="inlineStr">
        <is>
          <t>A Personal Choice / Bull City Partners (Raleigh)</t>
        </is>
      </c>
      <c r="D44" s="2" t="inlineStr"/>
      <c r="E44" s="2" t="inlineStr">
        <is>
          <t>A</t>
        </is>
      </c>
      <c r="F44" s="2" t="inlineStr"/>
      <c r="G44" s="2" t="inlineStr"/>
      <c r="H44" s="2" t="inlineStr"/>
      <c r="I44" s="2" t="inlineStr">
        <is>
          <t>not_run</t>
        </is>
      </c>
    </row>
    <row r="45">
      <c r="A45" s="2" t="inlineStr">
        <is>
          <t>Dan Calano</t>
        </is>
      </c>
      <c r="B45" s="2" t="inlineStr">
        <is>
          <t>CEO</t>
        </is>
      </c>
      <c r="C45" s="2" t="inlineStr">
        <is>
          <t>Fleetflo (Grouper Companies)</t>
        </is>
      </c>
      <c r="D45" s="2" t="inlineStr"/>
      <c r="E45" s="2" t="inlineStr">
        <is>
          <t>A</t>
        </is>
      </c>
      <c r="F45" s="2" t="inlineStr"/>
      <c r="G45" s="2" t="inlineStr"/>
      <c r="H45" s="2" t="inlineStr"/>
      <c r="I45" s="2" t="inlineStr">
        <is>
          <t>not_run</t>
        </is>
      </c>
    </row>
    <row r="46">
      <c r="A46" s="2" t="inlineStr">
        <is>
          <t>Miles Mamon</t>
        </is>
      </c>
      <c r="B46" s="2" t="inlineStr">
        <is>
          <t>CEO</t>
        </is>
      </c>
      <c r="C46" s="2" t="inlineStr">
        <is>
          <t>Roundhouse Electric &amp; Equipment / Kingsway (Permian Basin, TX)</t>
        </is>
      </c>
      <c r="D46" s="2" t="inlineStr"/>
      <c r="E46" s="2" t="inlineStr">
        <is>
          <t>A</t>
        </is>
      </c>
      <c r="F46" s="2" t="inlineStr"/>
      <c r="G46" s="2" t="inlineStr"/>
      <c r="H46" s="2" t="inlineStr"/>
      <c r="I46" s="2" t="inlineStr">
        <is>
          <t>not_run</t>
        </is>
      </c>
    </row>
    <row r="47">
      <c r="A47" s="2" t="inlineStr">
        <is>
          <t>Rob Casper</t>
        </is>
      </c>
      <c r="B47" s="2" t="inlineStr">
        <is>
          <t>Head of Kingsway Skilled Trades</t>
        </is>
      </c>
      <c r="C47" s="2" t="inlineStr">
        <is>
          <t>Bud's Plumbing and M.L.C. Plumbing / Kingsway</t>
        </is>
      </c>
      <c r="D47" s="2" t="inlineStr"/>
      <c r="E47" s="2" t="inlineStr">
        <is>
          <t>A</t>
        </is>
      </c>
      <c r="F47" s="2" t="inlineStr"/>
      <c r="G47" s="2" t="inlineStr"/>
      <c r="H47" s="2" t="inlineStr"/>
      <c r="I47" s="2" t="inlineStr">
        <is>
          <t>not_run</t>
        </is>
      </c>
    </row>
    <row r="48">
      <c r="A48" s="2" t="inlineStr">
        <is>
          <t>Cody Adelizzi</t>
        </is>
      </c>
      <c r="B48" s="2" t="inlineStr">
        <is>
          <t>CEO</t>
        </is>
      </c>
      <c r="C48" s="2" t="inlineStr">
        <is>
          <t>Blue Peak Tents / Second Summit Partners (Chicago)</t>
        </is>
      </c>
      <c r="D48" s="2" t="inlineStr"/>
      <c r="E48" s="2" t="inlineStr">
        <is>
          <t>A</t>
        </is>
      </c>
      <c r="F48" s="2" t="inlineStr"/>
      <c r="G48" s="2" t="inlineStr"/>
      <c r="H48" s="2" t="inlineStr"/>
      <c r="I48" s="2" t="inlineStr">
        <is>
          <t>not_run</t>
        </is>
      </c>
    </row>
    <row r="49">
      <c r="A49" s="2" t="inlineStr">
        <is>
          <t>Marti Ogram</t>
        </is>
      </c>
      <c r="B49" s="2" t="inlineStr">
        <is>
          <t>Co-Founder</t>
        </is>
      </c>
      <c r="C49" s="2" t="inlineStr">
        <is>
          <t>Easton Edge (Heattransfer, Seattle)</t>
        </is>
      </c>
      <c r="D49" s="2" t="inlineStr"/>
      <c r="E49" s="2" t="inlineStr">
        <is>
          <t>A</t>
        </is>
      </c>
      <c r="F49" s="2" t="inlineStr"/>
      <c r="G49" s="2" t="inlineStr"/>
      <c r="H49" s="2" t="inlineStr"/>
      <c r="I49" s="2" t="inlineStr">
        <is>
          <t>not_run</t>
        </is>
      </c>
    </row>
    <row r="50">
      <c r="A50" s="2" t="inlineStr">
        <is>
          <t>G. Birk Mitau</t>
        </is>
      </c>
      <c r="B50" s="2" t="inlineStr">
        <is>
          <t>Owner</t>
        </is>
      </c>
      <c r="C50" s="2" t="inlineStr">
        <is>
          <t>Todco Roofing / C3 Construction / Conserve Irrigation (Chicagoland)</t>
        </is>
      </c>
      <c r="D50" s="2" t="inlineStr"/>
      <c r="E50" s="2" t="inlineStr">
        <is>
          <t>A</t>
        </is>
      </c>
      <c r="F50" s="2" t="inlineStr"/>
      <c r="G50" s="2" t="inlineStr"/>
      <c r="H50" s="2" t="inlineStr"/>
      <c r="I50" s="2" t="inlineStr">
        <is>
          <t>not_run</t>
        </is>
      </c>
    </row>
    <row r="51">
      <c r="A51" s="2" t="inlineStr">
        <is>
          <t>Kofi Owusu Acheampong</t>
        </is>
      </c>
      <c r="B51" s="2" t="inlineStr">
        <is>
          <t>Owner &amp; President</t>
        </is>
      </c>
      <c r="C51" s="2" t="inlineStr">
        <is>
          <t>Paul Davis Restoration of Central VA (plus NW VA)</t>
        </is>
      </c>
      <c r="D51" s="2" t="inlineStr"/>
      <c r="E51" s="2" t="inlineStr">
        <is>
          <t>A</t>
        </is>
      </c>
      <c r="F51" s="2" t="inlineStr"/>
      <c r="G51" s="2" t="inlineStr"/>
      <c r="H51" s="2" t="inlineStr"/>
      <c r="I51" s="2" t="inlineStr">
        <is>
          <t>not_run</t>
        </is>
      </c>
    </row>
    <row r="52">
      <c r="A52" s="2" t="inlineStr">
        <is>
          <t>Aashish Chenna</t>
        </is>
      </c>
      <c r="B52" s="2" t="inlineStr">
        <is>
          <t>Co-owner/member</t>
        </is>
      </c>
      <c r="C52" s="2" t="inlineStr">
        <is>
          <t>Cardinal Heating &amp; Air</t>
        </is>
      </c>
      <c r="D52" s="2" t="inlineStr"/>
      <c r="E52" s="2" t="inlineStr">
        <is>
          <t>B</t>
        </is>
      </c>
      <c r="F52" s="2" t="inlineStr"/>
      <c r="G52" s="2" t="inlineStr"/>
      <c r="H52" s="2" t="inlineStr"/>
      <c r="I52" s="2" t="inlineStr">
        <is>
          <t>not_run</t>
        </is>
      </c>
    </row>
    <row r="53">
      <c r="A53" s="2" t="inlineStr">
        <is>
          <t>Patrick Beal</t>
        </is>
      </c>
      <c r="B53" s="2" t="inlineStr">
        <is>
          <t>President &amp; Owner</t>
        </is>
      </c>
      <c r="C53" s="2" t="inlineStr">
        <is>
          <t>Temperature Control Maintenance</t>
        </is>
      </c>
      <c r="D53" s="2" t="inlineStr"/>
      <c r="E53" s="2" t="inlineStr">
        <is>
          <t>B</t>
        </is>
      </c>
      <c r="F53" s="2" t="inlineStr"/>
      <c r="G53" s="2" t="inlineStr"/>
      <c r="H53" s="2" t="inlineStr"/>
      <c r="I53" s="2" t="inlineStr">
        <is>
          <t>not_run</t>
        </is>
      </c>
    </row>
    <row r="54">
      <c r="A54" s="2" t="inlineStr">
        <is>
          <t>Robert Gayden</t>
        </is>
      </c>
      <c r="B54" s="2" t="inlineStr">
        <is>
          <t>President &amp; CEO</t>
        </is>
      </c>
      <c r="C54" s="2" t="inlineStr">
        <is>
          <t>BrightStar Care of Greater Waukesha &amp; Lake Country</t>
        </is>
      </c>
      <c r="D54" s="2" t="inlineStr"/>
      <c r="E54" s="2" t="inlineStr">
        <is>
          <t>B</t>
        </is>
      </c>
      <c r="F54" s="2" t="inlineStr"/>
      <c r="G54" s="2" t="inlineStr"/>
      <c r="H54" s="2" t="inlineStr"/>
      <c r="I54" s="2" t="inlineStr">
        <is>
          <t>not_run</t>
        </is>
      </c>
    </row>
    <row r="55">
      <c r="A55" s="2" t="inlineStr">
        <is>
          <t>Sean Daly</t>
        </is>
      </c>
      <c r="B55" s="2" t="inlineStr">
        <is>
          <t>Owner</t>
        </is>
      </c>
      <c r="C55" s="2" t="inlineStr">
        <is>
          <t>Ice-C-Cool Mechanical</t>
        </is>
      </c>
      <c r="D55" s="2" t="inlineStr"/>
      <c r="E55" s="2" t="inlineStr">
        <is>
          <t>B</t>
        </is>
      </c>
      <c r="F55" s="2" t="inlineStr"/>
      <c r="G55" s="2" t="inlineStr"/>
      <c r="H55" s="2" t="inlineStr"/>
      <c r="I55" s="2" t="inlineStr">
        <is>
          <t>not_run</t>
        </is>
      </c>
    </row>
    <row r="56">
      <c r="A56" s="2" t="inlineStr">
        <is>
          <t>Scott Crosby</t>
        </is>
      </c>
      <c r="B56" s="2" t="inlineStr">
        <is>
          <t>Co-Owner</t>
        </is>
      </c>
      <c r="C56" s="2" t="inlineStr">
        <is>
          <t>American Services St. Louis</t>
        </is>
      </c>
      <c r="D56" s="2" t="inlineStr"/>
      <c r="E56" s="2" t="inlineStr">
        <is>
          <t>B</t>
        </is>
      </c>
      <c r="F56" s="2" t="inlineStr"/>
      <c r="G56" s="2" t="inlineStr"/>
      <c r="H56" s="2" t="inlineStr"/>
      <c r="I56" s="2" t="inlineStr">
        <is>
          <t>not_run</t>
        </is>
      </c>
    </row>
    <row r="57">
      <c r="A57" s="2" t="inlineStr">
        <is>
          <t>Nick Molina</t>
        </is>
      </c>
      <c r="B57" s="2" t="inlineStr">
        <is>
          <t>Owner/Chairman</t>
        </is>
      </c>
      <c r="C57" s="2" t="inlineStr">
        <is>
          <t>Kleinman Realty (Integris Asset Partners)</t>
        </is>
      </c>
      <c r="D57" s="2" t="inlineStr"/>
      <c r="E57" s="2" t="inlineStr">
        <is>
          <t>B</t>
        </is>
      </c>
      <c r="F57" s="2" t="inlineStr"/>
      <c r="G57" s="2" t="inlineStr"/>
      <c r="H57" s="2" t="inlineStr"/>
      <c r="I57" s="2" t="inlineStr">
        <is>
          <t>not_run</t>
        </is>
      </c>
    </row>
    <row r="58">
      <c r="A58" s="2" t="inlineStr">
        <is>
          <t>Irvin Gómez</t>
        </is>
      </c>
      <c r="B58" s="2" t="inlineStr">
        <is>
          <t>CEO</t>
        </is>
      </c>
      <c r="C58" s="2" t="inlineStr">
        <is>
          <t>Green Acres Lawn Care (Due North search fund)</t>
        </is>
      </c>
      <c r="D58" s="2" t="inlineStr"/>
      <c r="E58" s="2" t="inlineStr">
        <is>
          <t>B</t>
        </is>
      </c>
      <c r="F58" s="2" t="inlineStr"/>
      <c r="G58" s="2" t="inlineStr"/>
      <c r="H58" s="2" t="inlineStr"/>
      <c r="I58" s="2" t="inlineStr">
        <is>
          <t>not_run</t>
        </is>
      </c>
    </row>
    <row r="59">
      <c r="A59" s="2" t="inlineStr">
        <is>
          <t>Caroline Sabatt</t>
        </is>
      </c>
      <c r="B59" s="2" t="inlineStr">
        <is>
          <t>Owner &amp; CEO</t>
        </is>
      </c>
      <c r="C59" s="2" t="inlineStr">
        <is>
          <t>Minuteman Plumbing, Heating &amp; Cooling</t>
        </is>
      </c>
      <c r="D59" s="2" t="inlineStr"/>
      <c r="E59" s="2" t="inlineStr">
        <is>
          <t>B</t>
        </is>
      </c>
      <c r="F59" s="2" t="inlineStr"/>
      <c r="G59" s="2" t="inlineStr"/>
      <c r="H59" s="2" t="inlineStr"/>
      <c r="I59" s="2" t="inlineStr">
        <is>
          <t>not_run</t>
        </is>
      </c>
    </row>
    <row r="60">
      <c r="A60" s="2" t="inlineStr">
        <is>
          <t>Devin Fitzgerald</t>
        </is>
      </c>
      <c r="B60" s="2" t="inlineStr">
        <is>
          <t>Owner</t>
        </is>
      </c>
      <c r="C60" s="2" t="inlineStr">
        <is>
          <t>RML Service Group</t>
        </is>
      </c>
      <c r="D60" s="2" t="inlineStr"/>
      <c r="E60" s="2" t="inlineStr">
        <is>
          <t>B</t>
        </is>
      </c>
      <c r="F60" s="2" t="inlineStr"/>
      <c r="G60" s="2" t="inlineStr"/>
      <c r="H60" s="2" t="inlineStr"/>
      <c r="I60" s="2" t="inlineStr">
        <is>
          <t>not_run</t>
        </is>
      </c>
    </row>
    <row r="61">
      <c r="A61" s="2" t="inlineStr">
        <is>
          <t>Erik Reynolds</t>
        </is>
      </c>
      <c r="B61" s="2" t="inlineStr">
        <is>
          <t>President</t>
        </is>
      </c>
      <c r="C61" s="2" t="inlineStr">
        <is>
          <t>Three Bears Capital, doing business as Visiting Angels Littleton</t>
        </is>
      </c>
      <c r="D61" s="2" t="inlineStr"/>
      <c r="E61" s="2" t="inlineStr">
        <is>
          <t>B</t>
        </is>
      </c>
      <c r="F61" s="2" t="inlineStr"/>
      <c r="G61" s="2" t="inlineStr"/>
      <c r="H61" s="2" t="inlineStr"/>
      <c r="I61" s="2" t="inlineStr">
        <is>
          <t>not_run</t>
        </is>
      </c>
    </row>
    <row r="62">
      <c r="A62" s="2" t="inlineStr">
        <is>
          <t>Chase Crenwelge</t>
        </is>
      </c>
      <c r="B62" s="2" t="inlineStr">
        <is>
          <t>Owner</t>
        </is>
      </c>
      <c r="C62" s="2" t="inlineStr">
        <is>
          <t>Home Instead Plano (Double C Enterprises)</t>
        </is>
      </c>
      <c r="D62" s="2" t="inlineStr"/>
      <c r="E62" s="2" t="inlineStr">
        <is>
          <t>B</t>
        </is>
      </c>
      <c r="F62" s="2" t="inlineStr"/>
      <c r="G62" s="2" t="inlineStr"/>
      <c r="H62" s="2" t="inlineStr"/>
      <c r="I62" s="2" t="inlineStr">
        <is>
          <t>not_run</t>
        </is>
      </c>
    </row>
    <row r="63">
      <c r="A63" s="2" t="inlineStr">
        <is>
          <t>Taylor Crenwelge</t>
        </is>
      </c>
      <c r="B63" s="2" t="inlineStr">
        <is>
          <t>Owner</t>
        </is>
      </c>
      <c r="C63" s="2" t="inlineStr"/>
      <c r="D63" s="2" t="inlineStr"/>
      <c r="E63" s="2" t="inlineStr">
        <is>
          <t>B</t>
        </is>
      </c>
      <c r="F63" s="2" t="inlineStr"/>
      <c r="G63" s="2" t="inlineStr"/>
      <c r="H63" s="2" t="inlineStr"/>
      <c r="I63" s="2" t="inlineStr">
        <is>
          <t>not_run</t>
        </is>
      </c>
    </row>
    <row r="64">
      <c r="A64" s="2" t="inlineStr">
        <is>
          <t>Marc Lundeberg</t>
        </is>
      </c>
      <c r="B64" s="2" t="inlineStr">
        <is>
          <t>Owner &amp; CEO</t>
        </is>
      </c>
      <c r="C64" s="2" t="inlineStr">
        <is>
          <t>Senior Care Holdings (Visiting Angels RI/Groton)</t>
        </is>
      </c>
      <c r="D64" s="2" t="inlineStr"/>
      <c r="E64" s="2" t="inlineStr">
        <is>
          <t>B</t>
        </is>
      </c>
      <c r="F64" s="2" t="inlineStr"/>
      <c r="G64" s="2" t="inlineStr"/>
      <c r="H64" s="2" t="inlineStr"/>
      <c r="I64" s="2" t="inlineStr">
        <is>
          <t>not_run</t>
        </is>
      </c>
    </row>
    <row r="65">
      <c r="A65" s="2" t="inlineStr">
        <is>
          <t>David Mella</t>
        </is>
      </c>
      <c r="B65" s="2" t="inlineStr">
        <is>
          <t>Co-CEO</t>
        </is>
      </c>
      <c r="C65" s="2" t="inlineStr">
        <is>
          <t>Pando Home Care (search fund)</t>
        </is>
      </c>
      <c r="D65" s="2" t="inlineStr"/>
      <c r="E65" s="2" t="inlineStr">
        <is>
          <t>B</t>
        </is>
      </c>
      <c r="F65" s="2" t="inlineStr"/>
      <c r="G65" s="2" t="inlineStr"/>
      <c r="H65" s="2" t="inlineStr"/>
      <c r="I65" s="2" t="inlineStr">
        <is>
          <t>not_run</t>
        </is>
      </c>
    </row>
    <row r="66">
      <c r="A66" s="2" t="inlineStr">
        <is>
          <t>Nick Olsen</t>
        </is>
      </c>
      <c r="B66" s="2" t="inlineStr">
        <is>
          <t>Co-founder</t>
        </is>
      </c>
      <c r="C66" s="2" t="inlineStr">
        <is>
          <t>Pando Home Care</t>
        </is>
      </c>
      <c r="D66" s="2" t="inlineStr"/>
      <c r="E66" s="2" t="inlineStr">
        <is>
          <t>B</t>
        </is>
      </c>
      <c r="F66" s="2" t="inlineStr"/>
      <c r="G66" s="2" t="inlineStr"/>
      <c r="H66" s="2" t="inlineStr"/>
      <c r="I66" s="2" t="inlineStr">
        <is>
          <t>not_run</t>
        </is>
      </c>
    </row>
    <row r="67">
      <c r="A67" s="2" t="inlineStr">
        <is>
          <t>Felix Wibergh</t>
        </is>
      </c>
      <c r="B67" s="2" t="inlineStr">
        <is>
          <t>CEO &amp; Co-Owner</t>
        </is>
      </c>
      <c r="C67" s="2" t="inlineStr">
        <is>
          <t>Home or Away</t>
        </is>
      </c>
      <c r="D67" s="2" t="inlineStr"/>
      <c r="E67" s="2" t="inlineStr">
        <is>
          <t>B</t>
        </is>
      </c>
      <c r="F67" s="2" t="inlineStr"/>
      <c r="G67" s="2" t="inlineStr"/>
      <c r="H67" s="2" t="inlineStr"/>
      <c r="I67" s="2" t="inlineStr">
        <is>
          <t>not_run</t>
        </is>
      </c>
    </row>
    <row r="68">
      <c r="A68" s="2" t="inlineStr">
        <is>
          <t>Ryan Manacheril</t>
        </is>
      </c>
      <c r="B68" s="2" t="inlineStr">
        <is>
          <t>Operator</t>
        </is>
      </c>
      <c r="C68" s="2" t="inlineStr">
        <is>
          <t>Krista Care (Pillar Health Group)</t>
        </is>
      </c>
      <c r="D68" s="2" t="inlineStr"/>
      <c r="E68" s="2" t="inlineStr">
        <is>
          <t>B</t>
        </is>
      </c>
      <c r="F68" s="2" t="inlineStr"/>
      <c r="G68" s="2" t="inlineStr"/>
      <c r="H68" s="2" t="inlineStr"/>
      <c r="I68" s="2" t="inlineStr">
        <is>
          <t>not_run</t>
        </is>
      </c>
    </row>
    <row r="69">
      <c r="A69" s="2" t="inlineStr">
        <is>
          <t>Ryan Williams</t>
        </is>
      </c>
      <c r="B69" s="2" t="inlineStr">
        <is>
          <t>Owner</t>
        </is>
      </c>
      <c r="C69" s="2" t="inlineStr">
        <is>
          <t>Plumbing company, name not stated</t>
        </is>
      </c>
      <c r="D69" s="2" t="inlineStr"/>
      <c r="E69" s="2" t="inlineStr">
        <is>
          <t>B</t>
        </is>
      </c>
      <c r="F69" s="2" t="inlineStr"/>
      <c r="G69" s="2" t="inlineStr"/>
      <c r="H69" s="2" t="inlineStr"/>
      <c r="I69" s="2" t="inlineStr">
        <is>
          <t>not_run</t>
        </is>
      </c>
    </row>
    <row r="70">
      <c r="A70" s="2" t="inlineStr">
        <is>
          <t>Jameson Wildwood</t>
        </is>
      </c>
      <c r="B70" s="2" t="inlineStr">
        <is>
          <t>CEO</t>
        </is>
      </c>
      <c r="C70" s="2" t="inlineStr">
        <is>
          <t>Sweetwater Plumbing</t>
        </is>
      </c>
      <c r="D70" s="2" t="inlineStr"/>
      <c r="E70" s="2" t="inlineStr">
        <is>
          <t>B</t>
        </is>
      </c>
      <c r="F70" s="2" t="inlineStr"/>
      <c r="G70" s="2" t="inlineStr"/>
      <c r="H70" s="2" t="inlineStr"/>
      <c r="I70" s="2" t="inlineStr">
        <is>
          <t>not_run</t>
        </is>
      </c>
    </row>
    <row r="71">
      <c r="A71" s="2" t="inlineStr">
        <is>
          <t>Jared Worthen</t>
        </is>
      </c>
      <c r="B71" s="2" t="inlineStr">
        <is>
          <t>Owner</t>
        </is>
      </c>
      <c r="C71" s="2" t="inlineStr">
        <is>
          <t>Drain Doctors</t>
        </is>
      </c>
      <c r="D71" s="2" t="inlineStr"/>
      <c r="E71" s="2" t="inlineStr">
        <is>
          <t>B</t>
        </is>
      </c>
      <c r="F71" s="2" t="inlineStr"/>
      <c r="G71" s="2" t="inlineStr"/>
      <c r="H71" s="2" t="inlineStr"/>
      <c r="I71" s="2" t="inlineStr">
        <is>
          <t>not_run</t>
        </is>
      </c>
    </row>
    <row r="72">
      <c r="A72" s="2" t="inlineStr">
        <is>
          <t>Brent Zimmerman</t>
        </is>
      </c>
      <c r="B72" s="2" t="inlineStr">
        <is>
          <t>CEO/Owner</t>
        </is>
      </c>
      <c r="C72" s="2" t="inlineStr">
        <is>
          <t>Ayers Mechanical + Space Comfort</t>
        </is>
      </c>
      <c r="D72" s="2" t="inlineStr"/>
      <c r="E72" s="2" t="inlineStr">
        <is>
          <t>B</t>
        </is>
      </c>
      <c r="F72" s="2" t="inlineStr"/>
      <c r="G72" s="2" t="inlineStr"/>
      <c r="H72" s="2" t="inlineStr"/>
      <c r="I72" s="2" t="inlineStr">
        <is>
          <t>not_run</t>
        </is>
      </c>
    </row>
    <row r="73">
      <c r="A73" s="2" t="inlineStr">
        <is>
          <t>Matt Ostrowski</t>
        </is>
      </c>
      <c r="B73" s="2" t="inlineStr">
        <is>
          <t>CEO</t>
        </is>
      </c>
      <c r="C73" s="2" t="inlineStr">
        <is>
          <t>Premier Tree Specialists</t>
        </is>
      </c>
      <c r="D73" s="2" t="inlineStr"/>
      <c r="E73" s="2" t="inlineStr">
        <is>
          <t>B</t>
        </is>
      </c>
      <c r="F73" s="2" t="inlineStr"/>
      <c r="G73" s="2" t="inlineStr"/>
      <c r="H73" s="2" t="inlineStr"/>
      <c r="I73" s="2" t="inlineStr">
        <is>
          <t>not_run</t>
        </is>
      </c>
    </row>
    <row r="74">
      <c r="A74" s="2" t="inlineStr">
        <is>
          <t>Allison Toombs</t>
        </is>
      </c>
      <c r="B74" s="2" t="inlineStr">
        <is>
          <t>Co-owner</t>
        </is>
      </c>
      <c r="C74" s="2" t="inlineStr">
        <is>
          <t>Proximo Partners</t>
        </is>
      </c>
      <c r="D74" s="2" t="inlineStr"/>
      <c r="E74" s="2" t="inlineStr">
        <is>
          <t>B</t>
        </is>
      </c>
      <c r="F74" s="2" t="inlineStr"/>
      <c r="G74" s="2" t="inlineStr"/>
      <c r="H74" s="2" t="inlineStr"/>
      <c r="I74" s="2" t="inlineStr">
        <is>
          <t>not_run</t>
        </is>
      </c>
    </row>
    <row r="75">
      <c r="A75" s="2" t="inlineStr">
        <is>
          <t>Graeme Hewett</t>
        </is>
      </c>
      <c r="B75" s="2" t="inlineStr">
        <is>
          <t>CEO</t>
        </is>
      </c>
      <c r="C75" s="2" t="inlineStr">
        <is>
          <t>IT Service Alliance</t>
        </is>
      </c>
      <c r="D75" s="2" t="inlineStr"/>
      <c r="E75" s="2" t="inlineStr">
        <is>
          <t>B</t>
        </is>
      </c>
      <c r="F75" s="2" t="inlineStr"/>
      <c r="G75" s="2" t="inlineStr"/>
      <c r="H75" s="2" t="inlineStr"/>
      <c r="I75" s="2" t="inlineStr">
        <is>
          <t>not_run</t>
        </is>
      </c>
    </row>
    <row r="76">
      <c r="A76" s="2" t="inlineStr">
        <is>
          <t>Nadim Muzayyin</t>
        </is>
      </c>
      <c r="B76" s="2" t="inlineStr">
        <is>
          <t>Co-founder</t>
        </is>
      </c>
      <c r="C76" s="2" t="inlineStr">
        <is>
          <t>IT Service Alliance</t>
        </is>
      </c>
      <c r="D76" s="2" t="inlineStr"/>
      <c r="E76" s="2" t="inlineStr">
        <is>
          <t>B</t>
        </is>
      </c>
      <c r="F76" s="2" t="inlineStr"/>
      <c r="G76" s="2" t="inlineStr"/>
      <c r="H76" s="2" t="inlineStr"/>
      <c r="I76" s="2" t="inlineStr">
        <is>
          <t>not_run</t>
        </is>
      </c>
    </row>
    <row r="77">
      <c r="A77" s="2" t="inlineStr">
        <is>
          <t>James Masotti</t>
        </is>
      </c>
      <c r="B77" s="2" t="inlineStr">
        <is>
          <t>Owner</t>
        </is>
      </c>
      <c r="C77" s="2" t="inlineStr">
        <is>
          <t>Roaring Fork Tax &amp; Accounting</t>
        </is>
      </c>
      <c r="D77" s="2" t="inlineStr"/>
      <c r="E77" s="2" t="inlineStr">
        <is>
          <t>B</t>
        </is>
      </c>
      <c r="F77" s="2" t="inlineStr"/>
      <c r="G77" s="2" t="inlineStr"/>
      <c r="H77" s="2" t="inlineStr"/>
      <c r="I77" s="2" t="inlineStr">
        <is>
          <t>not_run</t>
        </is>
      </c>
    </row>
    <row r="78">
      <c r="A78" s="2" t="inlineStr">
        <is>
          <t>Peter B. Kelly</t>
        </is>
      </c>
      <c r="B78" s="2" t="inlineStr">
        <is>
          <t>Lecturer in Management</t>
        </is>
      </c>
      <c r="C78" s="2" t="inlineStr">
        <is>
          <t>Stanford GSB</t>
        </is>
      </c>
      <c r="D78" s="2" t="inlineStr"/>
      <c r="E78" s="2" t="inlineStr">
        <is>
          <t>C</t>
        </is>
      </c>
      <c r="F78" s="2" t="inlineStr"/>
      <c r="G78" s="2" t="inlineStr"/>
      <c r="H78" s="2" t="inlineStr"/>
      <c r="I78" s="2" t="inlineStr">
        <is>
          <t>not_run</t>
        </is>
      </c>
    </row>
    <row r="79">
      <c r="A79" s="2" t="inlineStr">
        <is>
          <t>Stefanos Zenios</t>
        </is>
      </c>
      <c r="B79" s="2" t="inlineStr">
        <is>
          <t>Professor of Entrepreneurship; faculty director, Center for Entrepreneurial Studies</t>
        </is>
      </c>
      <c r="C79" s="2" t="inlineStr">
        <is>
          <t>Stanford GSB</t>
        </is>
      </c>
      <c r="D79" s="2" t="inlineStr"/>
      <c r="E79" s="2" t="inlineStr">
        <is>
          <t>C</t>
        </is>
      </c>
      <c r="F79" s="2" t="inlineStr"/>
      <c r="G79" s="2" t="inlineStr"/>
      <c r="H79" s="2" t="inlineStr"/>
      <c r="I79" s="2" t="inlineStr">
        <is>
          <t>not_run</t>
        </is>
      </c>
    </row>
    <row r="80">
      <c r="A80" s="2" t="inlineStr">
        <is>
          <t>Dom Ng</t>
        </is>
      </c>
      <c r="B80" s="2" t="inlineStr">
        <is>
          <t>Associate Director, Search Fund Project</t>
        </is>
      </c>
      <c r="C80" s="2" t="inlineStr">
        <is>
          <t>Stanford GSB</t>
        </is>
      </c>
      <c r="D80" s="2" t="inlineStr"/>
      <c r="E80" s="2" t="inlineStr">
        <is>
          <t>C</t>
        </is>
      </c>
      <c r="F80" s="2" t="inlineStr"/>
      <c r="G80" s="2" t="inlineStr"/>
      <c r="H80" s="2" t="inlineStr"/>
      <c r="I80" s="2" t="inlineStr">
        <is>
          <t>not_run</t>
        </is>
      </c>
    </row>
    <row r="81">
      <c r="A81" s="2" t="inlineStr">
        <is>
          <t>David M. Dodson</t>
        </is>
      </c>
      <c r="B81" s="2" t="inlineStr">
        <is>
          <t>Faculty affiliate, Grousbeck-Holloway Center for Entrepreneurial Studies</t>
        </is>
      </c>
      <c r="C81" s="2" t="inlineStr">
        <is>
          <t>Stanford GSB</t>
        </is>
      </c>
      <c r="D81" s="2" t="inlineStr"/>
      <c r="E81" s="2" t="inlineStr">
        <is>
          <t>C</t>
        </is>
      </c>
      <c r="F81" s="2" t="inlineStr"/>
      <c r="G81" s="2" t="inlineStr"/>
      <c r="H81" s="2" t="inlineStr"/>
      <c r="I81" s="2" t="inlineStr">
        <is>
          <t>not_run</t>
        </is>
      </c>
    </row>
    <row r="82">
      <c r="A82" s="2" t="inlineStr">
        <is>
          <t>Jim Ellis</t>
        </is>
      </c>
      <c r="B82" s="2" t="inlineStr">
        <is>
          <t>Lecturer in Management</t>
        </is>
      </c>
      <c r="C82" s="2" t="inlineStr">
        <is>
          <t>Stanford GSB</t>
        </is>
      </c>
      <c r="D82" s="2" t="inlineStr"/>
      <c r="E82" s="2" t="inlineStr">
        <is>
          <t>C</t>
        </is>
      </c>
      <c r="F82" s="2" t="inlineStr"/>
      <c r="G82" s="2" t="inlineStr"/>
      <c r="H82" s="2" t="inlineStr"/>
      <c r="I82" s="2" t="inlineStr">
        <is>
          <t>not_run</t>
        </is>
      </c>
    </row>
    <row r="83">
      <c r="A83" s="2" t="inlineStr">
        <is>
          <t>Gerald Risk</t>
        </is>
      </c>
      <c r="B83" s="2" t="inlineStr">
        <is>
          <t>Lecturer</t>
        </is>
      </c>
      <c r="C83" s="2" t="inlineStr">
        <is>
          <t>Stanford GSB</t>
        </is>
      </c>
      <c r="D83" s="2" t="inlineStr"/>
      <c r="E83" s="2" t="inlineStr">
        <is>
          <t>C</t>
        </is>
      </c>
      <c r="F83" s="2" t="inlineStr"/>
      <c r="G83" s="2" t="inlineStr"/>
      <c r="H83" s="2" t="inlineStr"/>
      <c r="I83" s="2" t="inlineStr">
        <is>
          <t>not_run</t>
        </is>
      </c>
    </row>
    <row r="84">
      <c r="A84" s="2" t="inlineStr">
        <is>
          <t>Richard S. Ruback</t>
        </is>
      </c>
      <c r="B84" s="2" t="inlineStr">
        <is>
          <t>Baker Foundation Professor</t>
        </is>
      </c>
      <c r="C84" s="2" t="inlineStr">
        <is>
          <t>HBS</t>
        </is>
      </c>
      <c r="D84" s="2" t="inlineStr"/>
      <c r="E84" s="2" t="inlineStr">
        <is>
          <t>C</t>
        </is>
      </c>
      <c r="F84" s="2" t="inlineStr"/>
      <c r="G84" s="2" t="inlineStr"/>
      <c r="H84" s="2" t="inlineStr"/>
      <c r="I84" s="2" t="inlineStr">
        <is>
          <t>not_run</t>
        </is>
      </c>
    </row>
    <row r="85">
      <c r="A85" s="2" t="inlineStr">
        <is>
          <t>Royce Yudkoff</t>
        </is>
      </c>
      <c r="B85" s="2" t="inlineStr">
        <is>
          <t>Professor of Management Practice</t>
        </is>
      </c>
      <c r="C85" s="2" t="inlineStr">
        <is>
          <t>HBS</t>
        </is>
      </c>
      <c r="D85" s="2" t="inlineStr"/>
      <c r="E85" s="2" t="inlineStr">
        <is>
          <t>C</t>
        </is>
      </c>
      <c r="F85" s="2" t="inlineStr"/>
      <c r="G85" s="2" t="inlineStr"/>
      <c r="H85" s="2" t="inlineStr"/>
      <c r="I85" s="2" t="inlineStr">
        <is>
          <t>not_run</t>
        </is>
      </c>
    </row>
    <row r="86">
      <c r="A86" s="2" t="inlineStr">
        <is>
          <t>Jason T. Pananos</t>
        </is>
      </c>
      <c r="B86" s="2" t="inlineStr">
        <is>
          <t>Senior Lecturer</t>
        </is>
      </c>
      <c r="C86" s="2" t="inlineStr">
        <is>
          <t>HBS</t>
        </is>
      </c>
      <c r="D86" s="2" t="inlineStr"/>
      <c r="E86" s="2" t="inlineStr">
        <is>
          <t>C</t>
        </is>
      </c>
      <c r="F86" s="2" t="inlineStr"/>
      <c r="G86" s="2" t="inlineStr"/>
      <c r="H86" s="2" t="inlineStr"/>
      <c r="I86" s="2" t="inlineStr">
        <is>
          <t>not_run</t>
        </is>
      </c>
    </row>
    <row r="87">
      <c r="A87" s="2" t="inlineStr">
        <is>
          <t>Archie L. Jones Jr.</t>
        </is>
      </c>
      <c r="B87" s="2" t="inlineStr">
        <is>
          <t>Senior Lecturer</t>
        </is>
      </c>
      <c r="C87" s="2" t="inlineStr">
        <is>
          <t>HBS</t>
        </is>
      </c>
      <c r="D87" s="2" t="inlineStr"/>
      <c r="E87" s="2" t="inlineStr">
        <is>
          <t>C</t>
        </is>
      </c>
      <c r="F87" s="2" t="inlineStr"/>
      <c r="G87" s="2" t="inlineStr"/>
      <c r="H87" s="2" t="inlineStr"/>
      <c r="I87" s="2" t="inlineStr">
        <is>
          <t>not_run</t>
        </is>
      </c>
    </row>
    <row r="88">
      <c r="A88" s="2" t="inlineStr">
        <is>
          <t>Satish Tadikonda</t>
        </is>
      </c>
      <c r="B88" s="2" t="inlineStr">
        <is>
          <t>Senior Lecturer</t>
        </is>
      </c>
      <c r="C88" s="2" t="inlineStr">
        <is>
          <t>HBS</t>
        </is>
      </c>
      <c r="D88" s="2" t="inlineStr"/>
      <c r="E88" s="2" t="inlineStr">
        <is>
          <t>C</t>
        </is>
      </c>
      <c r="F88" s="2" t="inlineStr"/>
      <c r="G88" s="2" t="inlineStr"/>
      <c r="H88" s="2" t="inlineStr"/>
      <c r="I88" s="2" t="inlineStr">
        <is>
          <t>not_run</t>
        </is>
      </c>
    </row>
    <row r="89">
      <c r="A89" s="2" t="inlineStr">
        <is>
          <t>Steven Kaplan</t>
        </is>
      </c>
      <c r="B89" s="2" t="inlineStr">
        <is>
          <t>Professor; faculty director, Polsky Center</t>
        </is>
      </c>
      <c r="C89" s="2" t="inlineStr">
        <is>
          <t>Chicago Booth</t>
        </is>
      </c>
      <c r="D89" s="2" t="inlineStr"/>
      <c r="E89" s="2" t="inlineStr">
        <is>
          <t>C</t>
        </is>
      </c>
      <c r="F89" s="2" t="inlineStr"/>
      <c r="G89" s="2" t="inlineStr"/>
      <c r="H89" s="2" t="inlineStr"/>
      <c r="I89" s="2" t="inlineStr">
        <is>
          <t>not_run</t>
        </is>
      </c>
    </row>
    <row r="90">
      <c r="A90" s="2" t="inlineStr">
        <is>
          <t>Keith Burns</t>
        </is>
      </c>
      <c r="B90" s="2" t="inlineStr">
        <is>
          <t>Adjunct Assistant Professor</t>
        </is>
      </c>
      <c r="C90" s="2" t="inlineStr">
        <is>
          <t>Chicago Booth</t>
        </is>
      </c>
      <c r="D90" s="2" t="inlineStr"/>
      <c r="E90" s="2" t="inlineStr">
        <is>
          <t>C</t>
        </is>
      </c>
      <c r="F90" s="2" t="inlineStr"/>
      <c r="G90" s="2" t="inlineStr"/>
      <c r="H90" s="2" t="inlineStr"/>
      <c r="I90" s="2" t="inlineStr">
        <is>
          <t>not_run</t>
        </is>
      </c>
    </row>
    <row r="91">
      <c r="A91" s="2" t="inlineStr">
        <is>
          <t>Jason Jackson</t>
        </is>
      </c>
      <c r="B91" s="2" t="inlineStr">
        <is>
          <t>Adjunct Assistant Professor</t>
        </is>
      </c>
      <c r="C91" s="2" t="inlineStr">
        <is>
          <t>Chicago Booth</t>
        </is>
      </c>
      <c r="D91" s="2" t="inlineStr"/>
      <c r="E91" s="2" t="inlineStr">
        <is>
          <t>C</t>
        </is>
      </c>
      <c r="F91" s="2" t="inlineStr"/>
      <c r="G91" s="2" t="inlineStr"/>
      <c r="H91" s="2" t="inlineStr"/>
      <c r="I91" s="2" t="inlineStr">
        <is>
          <t>not_run</t>
        </is>
      </c>
    </row>
    <row r="92">
      <c r="A92" s="2" t="inlineStr">
        <is>
          <t>Mark Agnew</t>
        </is>
      </c>
      <c r="B92" s="2" t="inlineStr">
        <is>
          <t>Adjunct Associate Professor</t>
        </is>
      </c>
      <c r="C92" s="2" t="inlineStr">
        <is>
          <t>Chicago Booth</t>
        </is>
      </c>
      <c r="D92" s="2" t="inlineStr"/>
      <c r="E92" s="2" t="inlineStr">
        <is>
          <t>C</t>
        </is>
      </c>
      <c r="F92" s="2" t="inlineStr"/>
      <c r="G92" s="2" t="inlineStr"/>
      <c r="H92" s="2" t="inlineStr"/>
      <c r="I92" s="2" t="inlineStr">
        <is>
          <t>not_run</t>
        </is>
      </c>
    </row>
    <row r="93">
      <c r="A93" s="2" t="inlineStr">
        <is>
          <t>Brian O'Connor</t>
        </is>
      </c>
      <c r="B93" s="2" t="inlineStr">
        <is>
          <t>Adjunct Associate Professor</t>
        </is>
      </c>
      <c r="C93" s="2" t="inlineStr">
        <is>
          <t>Chicago Booth</t>
        </is>
      </c>
      <c r="D93" s="2" t="inlineStr"/>
      <c r="E93" s="2" t="inlineStr">
        <is>
          <t>C</t>
        </is>
      </c>
      <c r="F93" s="2" t="inlineStr"/>
      <c r="G93" s="2" t="inlineStr"/>
      <c r="H93" s="2" t="inlineStr"/>
      <c r="I93" s="2" t="inlineStr">
        <is>
          <t>not_run</t>
        </is>
      </c>
    </row>
    <row r="94">
      <c r="A94" s="2" t="inlineStr">
        <is>
          <t>Alex Schneider</t>
        </is>
      </c>
      <c r="B94" s="2" t="inlineStr">
        <is>
          <t>Adjunct Lecturer; ETA track lead, Zell Fellows</t>
        </is>
      </c>
      <c r="C94" s="2" t="inlineStr">
        <is>
          <t>Kellogg</t>
        </is>
      </c>
      <c r="D94" s="2" t="inlineStr"/>
      <c r="E94" s="2" t="inlineStr">
        <is>
          <t>C</t>
        </is>
      </c>
      <c r="F94" s="2" t="inlineStr"/>
      <c r="G94" s="2" t="inlineStr"/>
      <c r="H94" s="2" t="inlineStr"/>
      <c r="I94" s="2" t="inlineStr">
        <is>
          <t>not_run</t>
        </is>
      </c>
    </row>
    <row r="95">
      <c r="A95" s="2" t="inlineStr">
        <is>
          <t>Matt Littell</t>
        </is>
      </c>
      <c r="B95" s="2" t="inlineStr">
        <is>
          <t>Adjunct Lecturer; ETA track co-lead, Zell Fellows</t>
        </is>
      </c>
      <c r="C95" s="2" t="inlineStr">
        <is>
          <t>Kellogg</t>
        </is>
      </c>
      <c r="D95" s="2" t="inlineStr"/>
      <c r="E95" s="2" t="inlineStr">
        <is>
          <t>C</t>
        </is>
      </c>
      <c r="F95" s="2" t="inlineStr"/>
      <c r="G95" s="2" t="inlineStr"/>
      <c r="H95" s="2" t="inlineStr"/>
      <c r="I95" s="2" t="inlineStr">
        <is>
          <t>not_run</t>
        </is>
      </c>
    </row>
    <row r="96">
      <c r="A96" s="2" t="inlineStr">
        <is>
          <t>Jim Vesterman</t>
        </is>
      </c>
      <c r="B96" s="2" t="inlineStr">
        <is>
          <t>Lecturer</t>
        </is>
      </c>
      <c r="C96" s="2" t="inlineStr">
        <is>
          <t>Wharton</t>
        </is>
      </c>
      <c r="D96" s="2" t="inlineStr"/>
      <c r="E96" s="2" t="inlineStr">
        <is>
          <t>C</t>
        </is>
      </c>
      <c r="F96" s="2" t="inlineStr"/>
      <c r="G96" s="2" t="inlineStr"/>
      <c r="H96" s="2" t="inlineStr"/>
      <c r="I96" s="2" t="inlineStr">
        <is>
          <t>not_run</t>
        </is>
      </c>
    </row>
    <row r="97">
      <c r="A97" s="2" t="inlineStr">
        <is>
          <t>Richard Perlman</t>
        </is>
      </c>
      <c r="B97" s="2" t="inlineStr">
        <is>
          <t>Lecturer</t>
        </is>
      </c>
      <c r="C97" s="2" t="inlineStr">
        <is>
          <t>Wharton</t>
        </is>
      </c>
      <c r="D97" s="2" t="inlineStr"/>
      <c r="E97" s="2" t="inlineStr">
        <is>
          <t>C</t>
        </is>
      </c>
      <c r="F97" s="2" t="inlineStr"/>
      <c r="G97" s="2" t="inlineStr"/>
      <c r="H97" s="2" t="inlineStr"/>
      <c r="I97" s="2" t="inlineStr">
        <is>
          <t>not_run</t>
        </is>
      </c>
    </row>
    <row r="98">
      <c r="A98" s="2" t="inlineStr">
        <is>
          <t>Carlos Gila</t>
        </is>
      </c>
      <c r="B98" s="2" t="inlineStr">
        <is>
          <t>Adjunct Professor of Management</t>
        </is>
      </c>
      <c r="C98" s="2" t="inlineStr">
        <is>
          <t>Columbia</t>
        </is>
      </c>
      <c r="D98" s="2" t="inlineStr"/>
      <c r="E98" s="2" t="inlineStr">
        <is>
          <t>C</t>
        </is>
      </c>
      <c r="F98" s="2" t="inlineStr"/>
      <c r="G98" s="2" t="inlineStr"/>
      <c r="H98" s="2" t="inlineStr"/>
      <c r="I98" s="2" t="inlineStr">
        <is>
          <t>not_run</t>
        </is>
      </c>
    </row>
    <row r="99">
      <c r="A99" s="2" t="inlineStr">
        <is>
          <t>Tom Jackson</t>
        </is>
      </c>
      <c r="B99" s="2" t="inlineStr">
        <is>
          <t>Adjunct Professor</t>
        </is>
      </c>
      <c r="C99" s="2" t="inlineStr">
        <is>
          <t>Columbia</t>
        </is>
      </c>
      <c r="D99" s="2" t="inlineStr"/>
      <c r="E99" s="2" t="inlineStr">
        <is>
          <t>C</t>
        </is>
      </c>
      <c r="F99" s="2" t="inlineStr"/>
      <c r="G99" s="2" t="inlineStr"/>
      <c r="H99" s="2" t="inlineStr"/>
      <c r="I99" s="2" t="inlineStr">
        <is>
          <t>not_run</t>
        </is>
      </c>
    </row>
    <row r="100">
      <c r="A100" s="2" t="inlineStr">
        <is>
          <t>Clayton E. Sachs</t>
        </is>
      </c>
      <c r="B100" s="2" t="inlineStr">
        <is>
          <t>Faculty, B8523</t>
        </is>
      </c>
      <c r="C100" s="2" t="inlineStr">
        <is>
          <t>Columbia</t>
        </is>
      </c>
      <c r="D100" s="2" t="inlineStr"/>
      <c r="E100" s="2" t="inlineStr">
        <is>
          <t>C</t>
        </is>
      </c>
      <c r="F100" s="2" t="inlineStr"/>
      <c r="G100" s="2" t="inlineStr"/>
      <c r="H100" s="2" t="inlineStr"/>
      <c r="I100" s="2" t="inlineStr">
        <is>
          <t>not_run</t>
        </is>
      </c>
    </row>
    <row r="101">
      <c r="A101" s="2" t="inlineStr">
        <is>
          <t>Bakari Akil</t>
        </is>
      </c>
      <c r="B101" s="2" t="inlineStr">
        <is>
          <t>Lecturer ("How to Buy a Business" segment)</t>
        </is>
      </c>
      <c r="C101" s="2" t="inlineStr">
        <is>
          <t>Cornell Johnson</t>
        </is>
      </c>
      <c r="D101" s="2" t="inlineStr"/>
      <c r="E101" s="2" t="inlineStr">
        <is>
          <t>C</t>
        </is>
      </c>
      <c r="F101" s="2" t="inlineStr"/>
      <c r="G101" s="2" t="inlineStr"/>
      <c r="H101" s="2" t="inlineStr"/>
      <c r="I101" s="2" t="inlineStr">
        <is>
          <t>not_run</t>
        </is>
      </c>
    </row>
    <row r="102">
      <c r="A102" s="2" t="inlineStr">
        <is>
          <t>Lester "Les" Alexander III</t>
        </is>
      </c>
      <c r="B102" s="2" t="inlineStr">
        <is>
          <t>John Glynn Endowed Professor of Practice</t>
        </is>
      </c>
      <c r="C102" s="2" t="inlineStr">
        <is>
          <t>Darden</t>
        </is>
      </c>
      <c r="D102" s="2" t="inlineStr"/>
      <c r="E102" s="2" t="inlineStr">
        <is>
          <t>C</t>
        </is>
      </c>
      <c r="F102" s="2" t="inlineStr"/>
      <c r="G102" s="2" t="inlineStr"/>
      <c r="H102" s="2" t="inlineStr"/>
      <c r="I102" s="2" t="inlineStr">
        <is>
          <t>not_run</t>
        </is>
      </c>
    </row>
    <row r="103">
      <c r="A103" s="2" t="inlineStr">
        <is>
          <t>Megan McGee</t>
        </is>
      </c>
      <c r="B103" s="2" t="inlineStr">
        <is>
          <t>Director of ETA, Batten Institute</t>
        </is>
      </c>
      <c r="C103" s="2" t="inlineStr">
        <is>
          <t>Darden</t>
        </is>
      </c>
      <c r="D103" s="2" t="inlineStr"/>
      <c r="E103" s="2" t="inlineStr">
        <is>
          <t>C</t>
        </is>
      </c>
      <c r="F103" s="2" t="inlineStr"/>
      <c r="G103" s="2" t="inlineStr"/>
      <c r="H103" s="2" t="inlineStr"/>
      <c r="I103" s="2" t="inlineStr">
        <is>
          <t>not_run</t>
        </is>
      </c>
    </row>
    <row r="104">
      <c r="A104" s="2" t="inlineStr">
        <is>
          <t>Mark Anderegg</t>
        </is>
      </c>
      <c r="B104" s="2" t="inlineStr">
        <is>
          <t>Adjunct Professor</t>
        </is>
      </c>
      <c r="C104" s="2" t="inlineStr">
        <is>
          <t>Tuck (also Kellogg affiliate)</t>
        </is>
      </c>
      <c r="D104" s="2" t="inlineStr"/>
      <c r="E104" s="2" t="inlineStr">
        <is>
          <t>C</t>
        </is>
      </c>
      <c r="F104" s="2" t="inlineStr"/>
      <c r="G104" s="2" t="inlineStr"/>
      <c r="H104" s="2" t="inlineStr"/>
      <c r="I104" s="2" t="inlineStr">
        <is>
          <t>not_run</t>
        </is>
      </c>
    </row>
    <row r="105">
      <c r="A105" s="2" t="inlineStr">
        <is>
          <t>David Hiemstra</t>
        </is>
      </c>
      <c r="B105" s="2" t="inlineStr">
        <is>
          <t>Lecturer</t>
        </is>
      </c>
      <c r="C105" s="2" t="inlineStr">
        <is>
          <t>Michigan Ross</t>
        </is>
      </c>
      <c r="D105" s="2" t="inlineStr"/>
      <c r="E105" s="2" t="inlineStr">
        <is>
          <t>C</t>
        </is>
      </c>
      <c r="F105" s="2" t="inlineStr"/>
      <c r="G105" s="2" t="inlineStr"/>
      <c r="H105" s="2" t="inlineStr"/>
      <c r="I105" s="2" t="inlineStr">
        <is>
          <t>not_run</t>
        </is>
      </c>
    </row>
    <row r="106">
      <c r="A106" s="2" t="inlineStr">
        <is>
          <t>A.J. Wasserstein</t>
        </is>
      </c>
      <c r="B106" s="2" t="inlineStr">
        <is>
          <t>Senior Lecturer</t>
        </is>
      </c>
      <c r="C106" s="2" t="inlineStr">
        <is>
          <t>Yale SOM</t>
        </is>
      </c>
      <c r="D106" s="2" t="inlineStr"/>
      <c r="E106" s="2" t="inlineStr">
        <is>
          <t>C</t>
        </is>
      </c>
      <c r="F106" s="2" t="inlineStr"/>
      <c r="G106" s="2" t="inlineStr"/>
      <c r="H106" s="2" t="inlineStr"/>
      <c r="I106" s="2" t="inlineStr">
        <is>
          <t>not_run</t>
        </is>
      </c>
    </row>
    <row r="107">
      <c r="A107" s="2" t="inlineStr">
        <is>
          <t>David T. Robinson</t>
        </is>
      </c>
      <c r="B107" s="2" t="inlineStr">
        <is>
          <t>Professor of Finance</t>
        </is>
      </c>
      <c r="C107" s="2" t="inlineStr">
        <is>
          <t>Duke Fuqua</t>
        </is>
      </c>
      <c r="D107" s="2" t="inlineStr"/>
      <c r="E107" s="2" t="inlineStr">
        <is>
          <t>C</t>
        </is>
      </c>
      <c r="F107" s="2" t="inlineStr"/>
      <c r="G107" s="2" t="inlineStr"/>
      <c r="H107" s="2" t="inlineStr"/>
      <c r="I107" s="2" t="inlineStr">
        <is>
          <t>not_run</t>
        </is>
      </c>
    </row>
    <row r="108">
      <c r="A108" s="2" t="inlineStr">
        <is>
          <t>Jan Simon</t>
        </is>
      </c>
      <c r="B108" s="2" t="inlineStr">
        <is>
          <t>Instructor (Haas); academic director, IESE International Search Fund Center</t>
        </is>
      </c>
      <c r="C108" s="2" t="inlineStr">
        <is>
          <t>Berkeley Haas / IESE</t>
        </is>
      </c>
      <c r="D108" s="2" t="inlineStr"/>
      <c r="E108" s="2" t="inlineStr">
        <is>
          <t>C</t>
        </is>
      </c>
      <c r="F108" s="2" t="inlineStr"/>
      <c r="G108" s="2" t="inlineStr"/>
      <c r="H108" s="2" t="inlineStr"/>
      <c r="I108" s="2" t="inlineStr">
        <is>
          <t>not_run</t>
        </is>
      </c>
    </row>
    <row r="109">
      <c r="A109" s="2" t="inlineStr">
        <is>
          <t>Mellie Price</t>
        </is>
      </c>
      <c r="B109" s="2" t="inlineStr">
        <is>
          <t>Executive Director, Brumley Institute</t>
        </is>
      </c>
      <c r="C109" s="2" t="inlineStr">
        <is>
          <t>Texas McCombs</t>
        </is>
      </c>
      <c r="D109" s="2" t="inlineStr"/>
      <c r="E109" s="2" t="inlineStr">
        <is>
          <t>C</t>
        </is>
      </c>
      <c r="F109" s="2" t="inlineStr"/>
      <c r="G109" s="2" t="inlineStr"/>
      <c r="H109" s="2" t="inlineStr"/>
      <c r="I109" s="2" t="inlineStr">
        <is>
          <t>not_run</t>
        </is>
      </c>
    </row>
    <row r="110">
      <c r="A110" s="2" t="inlineStr">
        <is>
          <t>Jacob Hall</t>
        </is>
      </c>
      <c r="B110" s="2" t="inlineStr">
        <is>
          <t>Instructor</t>
        </is>
      </c>
      <c r="C110" s="2" t="inlineStr">
        <is>
          <t>Texas McCombs</t>
        </is>
      </c>
      <c r="D110" s="2" t="inlineStr"/>
      <c r="E110" s="2" t="inlineStr">
        <is>
          <t>C</t>
        </is>
      </c>
      <c r="F110" s="2" t="inlineStr"/>
      <c r="G110" s="2" t="inlineStr"/>
      <c r="H110" s="2" t="inlineStr"/>
      <c r="I110" s="2" t="inlineStr">
        <is>
          <t>not_run</t>
        </is>
      </c>
    </row>
    <row r="111">
      <c r="A111" s="2" t="inlineStr">
        <is>
          <t>Andrew Breen</t>
        </is>
      </c>
      <c r="B111" s="2" t="inlineStr">
        <is>
          <t>Adjunct Assistant Professor</t>
        </is>
      </c>
      <c r="C111" s="2" t="inlineStr">
        <is>
          <t>NYU Stern</t>
        </is>
      </c>
      <c r="D111" s="2" t="inlineStr"/>
      <c r="E111" s="2" t="inlineStr">
        <is>
          <t>C</t>
        </is>
      </c>
      <c r="F111" s="2" t="inlineStr"/>
      <c r="G111" s="2" t="inlineStr"/>
      <c r="H111" s="2" t="inlineStr"/>
      <c r="I111" s="2" t="inlineStr">
        <is>
          <t>not_run</t>
        </is>
      </c>
    </row>
    <row r="112">
      <c r="A112" s="2" t="inlineStr">
        <is>
          <t>Kingchih "KC" Fan</t>
        </is>
      </c>
      <c r="B112" s="2" t="inlineStr">
        <is>
          <t>Adjunct Professor</t>
        </is>
      </c>
      <c r="C112" s="2" t="inlineStr">
        <is>
          <t>NYU Stern</t>
        </is>
      </c>
      <c r="D112" s="2" t="inlineStr"/>
      <c r="E112" s="2" t="inlineStr">
        <is>
          <t>C</t>
        </is>
      </c>
      <c r="F112" s="2" t="inlineStr"/>
      <c r="G112" s="2" t="inlineStr"/>
      <c r="H112" s="2" t="inlineStr"/>
      <c r="I112" s="2" t="inlineStr">
        <is>
          <t>not_run</t>
        </is>
      </c>
    </row>
    <row r="113">
      <c r="A113" s="2" t="inlineStr">
        <is>
          <t>Kent Weaver</t>
        </is>
      </c>
      <c r="B113" s="2" t="inlineStr">
        <is>
          <t>Lecturer</t>
        </is>
      </c>
      <c r="C113" s="2" t="inlineStr">
        <is>
          <t>UCLA Anderson</t>
        </is>
      </c>
      <c r="D113" s="2" t="inlineStr"/>
      <c r="E113" s="2" t="inlineStr">
        <is>
          <t>C</t>
        </is>
      </c>
      <c r="F113" s="2" t="inlineStr"/>
      <c r="G113" s="2" t="inlineStr"/>
      <c r="H113" s="2" t="inlineStr"/>
      <c r="I113" s="2" t="inlineStr">
        <is>
          <t>not_run</t>
        </is>
      </c>
    </row>
    <row r="114">
      <c r="A114" s="2" t="inlineStr">
        <is>
          <t>Dustin Sellers</t>
        </is>
      </c>
      <c r="B114" s="2" t="inlineStr">
        <is>
          <t>Adjunct Professor</t>
        </is>
      </c>
      <c r="C114" s="2" t="inlineStr">
        <is>
          <t>USC Marshall</t>
        </is>
      </c>
      <c r="D114" s="2" t="inlineStr"/>
      <c r="E114" s="2" t="inlineStr">
        <is>
          <t>C</t>
        </is>
      </c>
      <c r="F114" s="2" t="inlineStr"/>
      <c r="G114" s="2" t="inlineStr"/>
      <c r="H114" s="2" t="inlineStr"/>
      <c r="I114" s="2" t="inlineStr">
        <is>
          <t>not_run</t>
        </is>
      </c>
    </row>
    <row r="115">
      <c r="A115" s="2" t="inlineStr">
        <is>
          <t>Chris Lueck</t>
        </is>
      </c>
      <c r="B115" s="2" t="inlineStr">
        <is>
          <t>Adjunct Professor</t>
        </is>
      </c>
      <c r="C115" s="2" t="inlineStr">
        <is>
          <t>USC Marshall</t>
        </is>
      </c>
      <c r="D115" s="2" t="inlineStr"/>
      <c r="E115" s="2" t="inlineStr">
        <is>
          <t>C</t>
        </is>
      </c>
      <c r="F115" s="2" t="inlineStr"/>
      <c r="G115" s="2" t="inlineStr"/>
      <c r="H115" s="2" t="inlineStr"/>
      <c r="I115" s="2" t="inlineStr">
        <is>
          <t>not_run</t>
        </is>
      </c>
    </row>
    <row r="116">
      <c r="A116" s="2" t="inlineStr">
        <is>
          <t>Scot Lowry</t>
        </is>
      </c>
      <c r="B116" s="2" t="inlineStr">
        <is>
          <t>ETA faculty</t>
        </is>
      </c>
      <c r="C116" s="2" t="inlineStr">
        <is>
          <t>Case Western Weatherhead (ETA Center)</t>
        </is>
      </c>
      <c r="D116" s="2" t="inlineStr"/>
      <c r="E116" s="2" t="inlineStr">
        <is>
          <t>C</t>
        </is>
      </c>
      <c r="F116" s="2" t="inlineStr"/>
      <c r="G116" s="2" t="inlineStr"/>
      <c r="H116" s="2" t="inlineStr"/>
      <c r="I116" s="2" t="inlineStr">
        <is>
          <t>not_run</t>
        </is>
      </c>
    </row>
    <row r="117">
      <c r="A117" s="2" t="inlineStr">
        <is>
          <t>Steve Ressler</t>
        </is>
      </c>
      <c r="B117" s="2" t="inlineStr">
        <is>
          <t>Adjunct Professor</t>
        </is>
      </c>
      <c r="C117" s="2" t="inlineStr">
        <is>
          <t>Georgetown McDonough</t>
        </is>
      </c>
      <c r="D117" s="2" t="inlineStr"/>
      <c r="E117" s="2" t="inlineStr">
        <is>
          <t>C</t>
        </is>
      </c>
      <c r="F117" s="2" t="inlineStr"/>
      <c r="G117" s="2" t="inlineStr"/>
      <c r="H117" s="2" t="inlineStr"/>
      <c r="I117" s="2" t="inlineStr">
        <is>
          <t>not_run</t>
        </is>
      </c>
    </row>
    <row r="118">
      <c r="A118" s="2" t="inlineStr">
        <is>
          <t>Noah Pepper</t>
        </is>
      </c>
      <c r="B118" s="2" t="inlineStr">
        <is>
          <t>Co-founder &amp; CEO</t>
        </is>
      </c>
      <c r="C118" s="2" t="inlineStr">
        <is>
          <t>Multiplier Holdings</t>
        </is>
      </c>
      <c r="D118" s="3" t="inlineStr">
        <is>
          <t>https://www.linkedin.com/in/noahpepper</t>
        </is>
      </c>
      <c r="E118" s="2" t="inlineStr">
        <is>
          <t>D</t>
        </is>
      </c>
      <c r="F118" s="2" t="inlineStr"/>
      <c r="G118" s="2" t="inlineStr"/>
      <c r="H118" s="2" t="inlineStr"/>
      <c r="I118" s="2" t="inlineStr">
        <is>
          <t>not_run</t>
        </is>
      </c>
    </row>
    <row r="119">
      <c r="A119" s="2" t="inlineStr">
        <is>
          <t>Nathan Lindley</t>
        </is>
      </c>
      <c r="B119" s="2" t="inlineStr">
        <is>
          <t>CEO</t>
        </is>
      </c>
      <c r="C119" s="2" t="inlineStr">
        <is>
          <t>Lindley Home Services</t>
        </is>
      </c>
      <c r="D119" s="2" t="inlineStr"/>
      <c r="E119" s="2" t="inlineStr">
        <is>
          <t>D</t>
        </is>
      </c>
      <c r="F119" s="2" t="inlineStr"/>
      <c r="G119" s="2" t="inlineStr"/>
      <c r="H119" s="2" t="inlineStr"/>
      <c r="I119" s="2" t="inlineStr">
        <is>
          <t>not_run</t>
        </is>
      </c>
    </row>
    <row r="120">
      <c r="A120" s="2" t="inlineStr">
        <is>
          <t>Kyle Boyden</t>
        </is>
      </c>
      <c r="B120" s="2" t="inlineStr">
        <is>
          <t>Co-owner/operator</t>
        </is>
      </c>
      <c r="C120" s="2" t="inlineStr">
        <is>
          <t>Rainier Cleaning Solutions</t>
        </is>
      </c>
      <c r="D120" s="3" t="inlineStr">
        <is>
          <t>https://www.linkedin.com/in/kyle-boyden</t>
        </is>
      </c>
      <c r="E120" s="2" t="inlineStr">
        <is>
          <t>D</t>
        </is>
      </c>
      <c r="F120" s="2" t="inlineStr"/>
      <c r="G120" s="2" t="inlineStr"/>
      <c r="H120" s="2" t="inlineStr"/>
      <c r="I120" s="2" t="inlineStr">
        <is>
          <t>not_run</t>
        </is>
      </c>
    </row>
    <row r="121">
      <c r="A121" s="2" t="inlineStr">
        <is>
          <t>Jake Furfaro</t>
        </is>
      </c>
      <c r="B121" s="2" t="inlineStr">
        <is>
          <t>Co-founder</t>
        </is>
      </c>
      <c r="C121" s="2" t="inlineStr">
        <is>
          <t>Rainier Cleaning Solutions</t>
        </is>
      </c>
      <c r="D121" s="2" t="inlineStr"/>
      <c r="E121" s="2" t="inlineStr">
        <is>
          <t>D</t>
        </is>
      </c>
      <c r="F121" s="2" t="inlineStr"/>
      <c r="G121" s="2" t="inlineStr"/>
      <c r="H121" s="2" t="inlineStr"/>
      <c r="I121" s="2" t="inlineStr">
        <is>
          <t>not_run</t>
        </is>
      </c>
    </row>
    <row r="122">
      <c r="A122" s="2" t="inlineStr">
        <is>
          <t>Chase Goodeill</t>
        </is>
      </c>
      <c r="B122" s="2" t="inlineStr">
        <is>
          <t>President / CEO</t>
        </is>
      </c>
      <c r="C122" s="2" t="inlineStr">
        <is>
          <t>Goodeill Holdings / PCC Pest Control Consultants</t>
        </is>
      </c>
      <c r="D122" s="3" t="inlineStr">
        <is>
          <t>https://www.linkedin.com/in/chase-goodeill-89ba40b2</t>
        </is>
      </c>
      <c r="E122" s="2" t="inlineStr">
        <is>
          <t>D</t>
        </is>
      </c>
      <c r="F122" s="2" t="inlineStr"/>
      <c r="G122" s="2" t="inlineStr"/>
      <c r="H122" s="2" t="inlineStr"/>
      <c r="I122" s="2" t="inlineStr">
        <is>
          <t>not_run</t>
        </is>
      </c>
    </row>
    <row r="123">
      <c r="A123" s="2" t="inlineStr">
        <is>
          <t>Ali Safavi</t>
        </is>
      </c>
      <c r="B123" s="2" t="inlineStr">
        <is>
          <t>CEO &amp; Co-founder</t>
        </is>
      </c>
      <c r="C123" s="2" t="inlineStr">
        <is>
          <t>COVU</t>
        </is>
      </c>
      <c r="D123" s="3" t="inlineStr">
        <is>
          <t>https://www.linkedin.com/in/asafavi</t>
        </is>
      </c>
      <c r="E123" s="2" t="inlineStr">
        <is>
          <t>D</t>
        </is>
      </c>
      <c r="F123" s="2" t="inlineStr"/>
      <c r="G123" s="2" t="inlineStr"/>
      <c r="H123" s="2" t="inlineStr"/>
      <c r="I123" s="2" t="inlineStr">
        <is>
          <t>not_run</t>
        </is>
      </c>
    </row>
    <row r="124">
      <c r="A124" s="2" t="inlineStr">
        <is>
          <t>KP Reddy</t>
        </is>
      </c>
      <c r="B124" s="2" t="inlineStr">
        <is>
          <t>Founder &amp; CEO</t>
        </is>
      </c>
      <c r="C124" s="2" t="inlineStr">
        <is>
          <t>Zero RFI</t>
        </is>
      </c>
      <c r="D124" s="3" t="inlineStr">
        <is>
          <t>https://www.linkedin.com/in/kpreddy</t>
        </is>
      </c>
      <c r="E124" s="2" t="inlineStr">
        <is>
          <t>D</t>
        </is>
      </c>
      <c r="F124" s="2" t="inlineStr"/>
      <c r="G124" s="2" t="inlineStr"/>
      <c r="H124" s="2" t="inlineStr"/>
      <c r="I124" s="2" t="inlineStr">
        <is>
          <t>not_run</t>
        </is>
      </c>
    </row>
    <row r="125">
      <c r="A125" s="2" t="inlineStr">
        <is>
          <t>Juan Fernandez</t>
        </is>
      </c>
      <c r="B125" s="2" t="inlineStr">
        <is>
          <t>Founder</t>
        </is>
      </c>
      <c r="C125" s="2" t="inlineStr">
        <is>
          <t>MSP Owners Group (MSP-OG)</t>
        </is>
      </c>
      <c r="D125" s="3" t="inlineStr">
        <is>
          <t>https://www.linkedin.com/in/1jf</t>
        </is>
      </c>
      <c r="E125" s="2" t="inlineStr">
        <is>
          <t>D</t>
        </is>
      </c>
      <c r="F125" s="2" t="inlineStr"/>
      <c r="G125" s="2" t="inlineStr"/>
      <c r="H125" s="2" t="inlineStr"/>
      <c r="I125" s="2" t="inlineStr">
        <is>
          <t>not_run</t>
        </is>
      </c>
    </row>
    <row r="126">
      <c r="A126" s="2" t="inlineStr">
        <is>
          <t>Rob Carpenter</t>
        </is>
      </c>
      <c r="B126" s="2" t="inlineStr">
        <is>
          <t>Owner</t>
        </is>
      </c>
      <c r="C126" s="2" t="inlineStr">
        <is>
          <t>Merry Maids territories (Frost River Capital)</t>
        </is>
      </c>
      <c r="D126" s="2" t="inlineStr"/>
      <c r="E126" s="2" t="inlineStr">
        <is>
          <t>D</t>
        </is>
      </c>
      <c r="F126" s="2" t="inlineStr"/>
      <c r="G126" s="2" t="inlineStr"/>
      <c r="H126" s="2" t="inlineStr"/>
      <c r="I126" s="2" t="inlineStr">
        <is>
          <t>not_run</t>
        </is>
      </c>
    </row>
    <row r="127">
      <c r="A127" s="2" t="inlineStr">
        <is>
          <t>Onu Okebie</t>
        </is>
      </c>
      <c r="B127" s="2" t="inlineStr">
        <is>
          <t>CEO</t>
        </is>
      </c>
      <c r="C127" s="2" t="inlineStr">
        <is>
          <t>HTL Freight</t>
        </is>
      </c>
      <c r="D127" s="2" t="inlineStr"/>
      <c r="E127" s="2" t="inlineStr">
        <is>
          <t>D</t>
        </is>
      </c>
      <c r="F127" s="2" t="inlineStr"/>
      <c r="G127" s="2" t="inlineStr"/>
      <c r="H127" s="2" t="inlineStr"/>
      <c r="I127" s="2" t="inlineStr">
        <is>
          <t>not_run</t>
        </is>
      </c>
    </row>
    <row r="128">
      <c r="A128" s="2" t="inlineStr">
        <is>
          <t>Jesse Jackson</t>
        </is>
      </c>
      <c r="B128" s="2" t="inlineStr">
        <is>
          <t>CEO</t>
        </is>
      </c>
      <c r="C128" s="2" t="inlineStr">
        <is>
          <t>Mango Automotive</t>
        </is>
      </c>
      <c r="D128" s="3" t="inlineStr">
        <is>
          <t>https://www.linkedin.com/in/jessicaannejackson</t>
        </is>
      </c>
      <c r="E128" s="2" t="inlineStr">
        <is>
          <t>D</t>
        </is>
      </c>
      <c r="F128" s="2" t="inlineStr"/>
      <c r="G128" s="2" t="inlineStr"/>
      <c r="H128" s="2" t="inlineStr"/>
      <c r="I128" s="2" t="inlineStr">
        <is>
          <t>not_run</t>
        </is>
      </c>
    </row>
    <row r="129">
      <c r="A129" s="2" t="inlineStr">
        <is>
          <t>Victor Rancour</t>
        </is>
      </c>
      <c r="B129" s="2" t="inlineStr">
        <is>
          <t>CEO</t>
        </is>
      </c>
      <c r="C129" s="2" t="inlineStr">
        <is>
          <t>Rocket Group Holdings</t>
        </is>
      </c>
      <c r="D129" s="3" t="inlineStr">
        <is>
          <t>https://www.linkedin.com/in/victor-rancour-51605a48</t>
        </is>
      </c>
      <c r="E129" s="2" t="inlineStr">
        <is>
          <t>D</t>
        </is>
      </c>
      <c r="F129" s="2" t="inlineStr"/>
      <c r="G129" s="2" t="inlineStr"/>
      <c r="H129" s="2" t="inlineStr"/>
      <c r="I129" s="2" t="inlineStr">
        <is>
          <t>not_run</t>
        </is>
      </c>
    </row>
    <row r="130">
      <c r="A130" s="2" t="inlineStr">
        <is>
          <t>Jeremy Yamaguchi</t>
        </is>
      </c>
      <c r="B130" s="2" t="inlineStr">
        <is>
          <t>Founder &amp; CEO</t>
        </is>
      </c>
      <c r="C130" s="2" t="inlineStr">
        <is>
          <t>Cabana</t>
        </is>
      </c>
      <c r="D130" s="3" t="inlineStr">
        <is>
          <t>https://www.linkedin.com/in/jeremyyamaguchi</t>
        </is>
      </c>
      <c r="E130" s="2" t="inlineStr">
        <is>
          <t>D</t>
        </is>
      </c>
      <c r="F130" s="2" t="inlineStr"/>
      <c r="G130" s="2" t="inlineStr"/>
      <c r="H130" s="2" t="inlineStr"/>
      <c r="I130" s="2" t="inlineStr">
        <is>
          <t>not_run</t>
        </is>
      </c>
    </row>
    <row r="131">
      <c r="A131" s="2" t="inlineStr">
        <is>
          <t>Mike Witte</t>
        </is>
      </c>
      <c r="B131" s="2" t="inlineStr">
        <is>
          <t>Co-founder &amp; CEO</t>
        </is>
      </c>
      <c r="C131" s="2" t="inlineStr">
        <is>
          <t>Equal Parts</t>
        </is>
      </c>
      <c r="D131" s="2" t="inlineStr"/>
      <c r="E131" s="2" t="inlineStr">
        <is>
          <t>D</t>
        </is>
      </c>
      <c r="F131" s="2" t="inlineStr"/>
      <c r="G131" s="2" t="inlineStr"/>
      <c r="H131" s="2" t="inlineStr"/>
      <c r="I131" s="2" t="inlineStr">
        <is>
          <t>not_run</t>
        </is>
      </c>
    </row>
    <row r="132">
      <c r="A132" s="2" t="inlineStr">
        <is>
          <t>Jeff D'Angelo</t>
        </is>
      </c>
      <c r="B132" s="2" t="inlineStr">
        <is>
          <t>Co-founder &amp; CEO</t>
        </is>
      </c>
      <c r="C132" s="2" t="inlineStr">
        <is>
          <t>Fura</t>
        </is>
      </c>
      <c r="D132" s="3" t="inlineStr">
        <is>
          <t>https://www.linkedin.com/in/jeff-dangelo-8a7107a</t>
        </is>
      </c>
      <c r="E132" s="2" t="inlineStr">
        <is>
          <t>D</t>
        </is>
      </c>
      <c r="F132" s="2" t="inlineStr"/>
      <c r="G132" s="2" t="inlineStr"/>
      <c r="H132" s="2" t="inlineStr"/>
      <c r="I132" s="2" t="inlineStr">
        <is>
          <t>not_run</t>
        </is>
      </c>
    </row>
    <row r="133">
      <c r="A133" s="2" t="inlineStr">
        <is>
          <t>Ravi Kurani</t>
        </is>
      </c>
      <c r="B133" s="2" t="inlineStr">
        <is>
          <t>COO Poolify / President Standard Water</t>
        </is>
      </c>
      <c r="C133" s="2" t="inlineStr">
        <is>
          <t>Poolify</t>
        </is>
      </c>
      <c r="D133" s="3" t="inlineStr">
        <is>
          <t>https://www.linkedin.com/in/kuraniravi</t>
        </is>
      </c>
      <c r="E133" s="2" t="inlineStr">
        <is>
          <t>D</t>
        </is>
      </c>
      <c r="F133" s="2" t="inlineStr"/>
      <c r="G133" s="2" t="inlineStr"/>
      <c r="H133" s="2" t="inlineStr"/>
      <c r="I133" s="2" t="inlineStr">
        <is>
          <t>not_run</t>
        </is>
      </c>
    </row>
    <row r="134">
      <c r="A134" s="2" t="inlineStr">
        <is>
          <t>Jordan Evans</t>
        </is>
      </c>
      <c r="B134" s="2" t="inlineStr">
        <is>
          <t>CEO</t>
        </is>
      </c>
      <c r="C134" s="2" t="inlineStr">
        <is>
          <t>Language Network</t>
        </is>
      </c>
      <c r="D134" s="3" t="inlineStr">
        <is>
          <t>https://www.linkedin.com/in/jordanpevans</t>
        </is>
      </c>
      <c r="E134" s="2" t="inlineStr">
        <is>
          <t>D</t>
        </is>
      </c>
      <c r="F134" s="2" t="inlineStr"/>
      <c r="G134" s="2" t="inlineStr"/>
      <c r="H134" s="2" t="inlineStr"/>
      <c r="I134" s="2" t="inlineStr">
        <is>
          <t>not_run</t>
        </is>
      </c>
    </row>
    <row r="135">
      <c r="A135" s="2" t="inlineStr">
        <is>
          <t>Eric Calderon</t>
        </is>
      </c>
      <c r="B135" s="2" t="inlineStr">
        <is>
          <t>Founder &amp; CEO</t>
        </is>
      </c>
      <c r="C135" s="2" t="inlineStr">
        <is>
          <t>TXE Partners</t>
        </is>
      </c>
      <c r="D135" s="3" t="inlineStr">
        <is>
          <t>https://www.linkedin.com/in/eric-r-calderon</t>
        </is>
      </c>
      <c r="E135" s="2" t="inlineStr">
        <is>
          <t>D</t>
        </is>
      </c>
      <c r="F135" s="2" t="inlineStr"/>
      <c r="G135" s="2" t="inlineStr"/>
      <c r="H135" s="2" t="inlineStr"/>
      <c r="I135" s="2" t="inlineStr">
        <is>
          <t>not_run</t>
        </is>
      </c>
    </row>
    <row r="136">
      <c r="A136" s="2" t="inlineStr">
        <is>
          <t>Greg Shapiro</t>
        </is>
      </c>
      <c r="B136" s="2" t="inlineStr">
        <is>
          <t>Co-founder &amp; President</t>
        </is>
      </c>
      <c r="C136" s="2" t="inlineStr">
        <is>
          <t>Hickory</t>
        </is>
      </c>
      <c r="D136" s="3" t="inlineStr">
        <is>
          <t>https://www.linkedin.com/in/gregshap</t>
        </is>
      </c>
      <c r="E136" s="2" t="inlineStr">
        <is>
          <t>D</t>
        </is>
      </c>
      <c r="F136" s="2" t="inlineStr"/>
      <c r="G136" s="2" t="inlineStr"/>
      <c r="H136" s="2" t="inlineStr"/>
      <c r="I136" s="2" t="inlineStr">
        <is>
          <t>not_run</t>
        </is>
      </c>
    </row>
    <row r="137">
      <c r="A137" s="2" t="inlineStr">
        <is>
          <t>Rich O'Neill</t>
        </is>
      </c>
      <c r="B137" s="2" t="inlineStr">
        <is>
          <t>Founder &amp; CEO</t>
        </is>
      </c>
      <c r="C137" s="2" t="inlineStr">
        <is>
          <t>Happy Pools</t>
        </is>
      </c>
      <c r="D137" s="3" t="inlineStr">
        <is>
          <t>https://www.linkedin.com/in/richardaoneill</t>
        </is>
      </c>
      <c r="E137" s="2" t="inlineStr">
        <is>
          <t>D</t>
        </is>
      </c>
      <c r="F137" s="2" t="inlineStr"/>
      <c r="G137" s="2" t="inlineStr"/>
      <c r="H137" s="2" t="inlineStr"/>
      <c r="I137" s="2" t="inlineStr">
        <is>
          <t>not_run</t>
        </is>
      </c>
    </row>
    <row r="138">
      <c r="A138" s="2" t="inlineStr">
        <is>
          <t>Sei-Wook Kim</t>
        </is>
      </c>
      <c r="B138" s="2" t="inlineStr">
        <is>
          <t>Co-founder</t>
        </is>
      </c>
      <c r="C138" s="2" t="inlineStr">
        <is>
          <t>Barrel Holdings</t>
        </is>
      </c>
      <c r="D138" s="3" t="inlineStr">
        <is>
          <t>https://www.linkedin.com/in/seiwookkim</t>
        </is>
      </c>
      <c r="E138" s="2" t="inlineStr">
        <is>
          <t>D</t>
        </is>
      </c>
      <c r="F138" s="2" t="inlineStr"/>
      <c r="G138" s="2" t="inlineStr"/>
      <c r="H138" s="2" t="inlineStr"/>
      <c r="I138" s="2" t="inlineStr">
        <is>
          <t>not_run</t>
        </is>
      </c>
    </row>
    <row r="139">
      <c r="A139" s="2" t="inlineStr">
        <is>
          <t>John Wilson</t>
        </is>
      </c>
      <c r="B139" s="2" t="inlineStr">
        <is>
          <t>CEO</t>
        </is>
      </c>
      <c r="C139" s="2" t="inlineStr">
        <is>
          <t>Wilson Companies</t>
        </is>
      </c>
      <c r="D139" s="3" t="inlineStr">
        <is>
          <t>https://www.linkedin.com/in/johnbwilson1</t>
        </is>
      </c>
      <c r="E139" s="2" t="inlineStr">
        <is>
          <t>D</t>
        </is>
      </c>
      <c r="F139" s="2" t="inlineStr"/>
      <c r="G139" s="2" t="inlineStr"/>
      <c r="H139" s="2" t="inlineStr"/>
      <c r="I139" s="2" t="inlineStr">
        <is>
          <t>not_run</t>
        </is>
      </c>
    </row>
    <row r="140">
      <c r="A140" s="2" t="inlineStr">
        <is>
          <t>Ian Smith</t>
        </is>
      </c>
      <c r="B140" s="2" t="inlineStr">
        <is>
          <t>Partner</t>
        </is>
      </c>
      <c r="C140" s="2" t="inlineStr">
        <is>
          <t>South River Capital</t>
        </is>
      </c>
      <c r="D140" s="3" t="inlineStr">
        <is>
          <t>https://www.linkedin.com/in/ian-smith-a948a13a</t>
        </is>
      </c>
      <c r="E140" s="2" t="inlineStr">
        <is>
          <t>D</t>
        </is>
      </c>
      <c r="F140" s="2" t="inlineStr"/>
      <c r="G140" s="2" t="inlineStr"/>
      <c r="H140" s="2" t="inlineStr"/>
      <c r="I140" s="2" t="inlineStr">
        <is>
          <t>not_run</t>
        </is>
      </c>
    </row>
  </sheetData>
  <autoFilter ref="A1:I140"/>
  <hyperlinks>
    <hyperlink xmlns:r="http://schemas.openxmlformats.org/officeDocument/2006/relationships" ref="D118" r:id="rId1"/>
    <hyperlink xmlns:r="http://schemas.openxmlformats.org/officeDocument/2006/relationships" ref="D120" r:id="rId2"/>
    <hyperlink xmlns:r="http://schemas.openxmlformats.org/officeDocument/2006/relationships" ref="D122" r:id="rId3"/>
    <hyperlink xmlns:r="http://schemas.openxmlformats.org/officeDocument/2006/relationships" ref="D123" r:id="rId4"/>
    <hyperlink xmlns:r="http://schemas.openxmlformats.org/officeDocument/2006/relationships" ref="D124" r:id="rId5"/>
    <hyperlink xmlns:r="http://schemas.openxmlformats.org/officeDocument/2006/relationships" ref="D125" r:id="rId6"/>
    <hyperlink xmlns:r="http://schemas.openxmlformats.org/officeDocument/2006/relationships" ref="D128" r:id="rId7"/>
    <hyperlink xmlns:r="http://schemas.openxmlformats.org/officeDocument/2006/relationships" ref="D129" r:id="rId8"/>
    <hyperlink xmlns:r="http://schemas.openxmlformats.org/officeDocument/2006/relationships" ref="D130" r:id="rId9"/>
    <hyperlink xmlns:r="http://schemas.openxmlformats.org/officeDocument/2006/relationships" ref="D132" r:id="rId10"/>
    <hyperlink xmlns:r="http://schemas.openxmlformats.org/officeDocument/2006/relationships" ref="D133" r:id="rId11"/>
    <hyperlink xmlns:r="http://schemas.openxmlformats.org/officeDocument/2006/relationships" ref="D134" r:id="rId12"/>
    <hyperlink xmlns:r="http://schemas.openxmlformats.org/officeDocument/2006/relationships" ref="D135" r:id="rId13"/>
    <hyperlink xmlns:r="http://schemas.openxmlformats.org/officeDocument/2006/relationships" ref="D136" r:id="rId14"/>
    <hyperlink xmlns:r="http://schemas.openxmlformats.org/officeDocument/2006/relationships" ref="D137" r:id="rId15"/>
    <hyperlink xmlns:r="http://schemas.openxmlformats.org/officeDocument/2006/relationships" ref="D138" r:id="rId16"/>
    <hyperlink xmlns:r="http://schemas.openxmlformats.org/officeDocument/2006/relationships" ref="D139" r:id="rId17"/>
    <hyperlink xmlns:r="http://schemas.openxmlformats.org/officeDocument/2006/relationships" ref="D14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4" t="inlineStr">
        <is>
          <t>Enrichment summary</t>
        </is>
      </c>
    </row>
    <row r="3">
      <c r="A3" s="2" t="inlineStr">
        <is>
          <t>Total contacts</t>
        </is>
      </c>
      <c r="B3" s="2">
        <f>COUNTA(Contacts!A2:A140)</f>
        <v/>
      </c>
    </row>
    <row r="4">
      <c r="A4" s="2" t="inlineStr">
        <is>
          <t>With LinkedIn URL</t>
        </is>
      </c>
      <c r="B4" s="2">
        <f>COUNTIF(Contacts!D2:D140,"http*")</f>
        <v/>
      </c>
    </row>
    <row r="5">
      <c r="A5" s="2" t="inlineStr">
        <is>
          <t>With email</t>
        </is>
      </c>
      <c r="B5" s="2">
        <f>COUNTIF(Contacts!F2:F140,"?*")</f>
        <v/>
      </c>
    </row>
    <row r="6">
      <c r="A6" s="2" t="inlineStr">
        <is>
          <t>Without email</t>
        </is>
      </c>
      <c r="B6" s="2">
        <f>COUNTA(Contacts!A2:A140)-COUNTIF(Contacts!F2:F140,"?*")</f>
        <v/>
      </c>
    </row>
    <row r="7">
      <c r="A7" s="2" t="inlineStr">
        <is>
          <t>With phone</t>
        </is>
      </c>
      <c r="B7" s="2">
        <f>COUNTIF(Contacts!H2:H140,"?*")</f>
        <v/>
      </c>
    </row>
    <row r="9">
      <c r="A9" s="5" t="inlineStr">
        <is>
          <t>Per source variant</t>
        </is>
      </c>
      <c r="B9" s="5" t="inlineStr">
        <is>
          <t>Contacts</t>
        </is>
      </c>
      <c r="C9" s="5" t="inlineStr">
        <is>
          <t>With email</t>
        </is>
      </c>
    </row>
    <row r="10">
      <c r="A10" s="2" t="inlineStr">
        <is>
          <t>A</t>
        </is>
      </c>
      <c r="B10" s="2">
        <f>COUNTIF(Contacts!E2:E140,"*A*")</f>
        <v/>
      </c>
      <c r="C10" s="2">
        <f>COUNTIFS(Contacts!E2:E140,"*A*",Contacts!F2:F140,"?*")</f>
        <v/>
      </c>
    </row>
    <row r="11">
      <c r="A11" s="2" t="inlineStr">
        <is>
          <t>B</t>
        </is>
      </c>
      <c r="B11" s="2">
        <f>COUNTIF(Contacts!E2:E140,"*B*")</f>
        <v/>
      </c>
      <c r="C11" s="2">
        <f>COUNTIFS(Contacts!E2:E140,"*B*",Contacts!F2:F140,"?*")</f>
        <v/>
      </c>
    </row>
    <row r="12">
      <c r="A12" s="2" t="inlineStr">
        <is>
          <t>C</t>
        </is>
      </c>
      <c r="B12" s="2">
        <f>COUNTIF(Contacts!E2:E140,"*C*")</f>
        <v/>
      </c>
      <c r="C12" s="2">
        <f>COUNTIFS(Contacts!E2:E140,"*C*",Contacts!F2:F140,"?*")</f>
        <v/>
      </c>
    </row>
    <row r="13">
      <c r="A13" s="2" t="inlineStr">
        <is>
          <t>D</t>
        </is>
      </c>
      <c r="B13" s="2">
        <f>COUNTIF(Contacts!E2:E140,"*D*")</f>
        <v/>
      </c>
      <c r="C13" s="2">
        <f>COUNTIFS(Contacts!E2:E140,"*D*",Contacts!F2:F140,"?*")</f>
        <v/>
      </c>
    </row>
    <row r="15">
      <c r="A15" s="6" t="inlineStr">
        <is>
          <t>DRY RUN: AI Ark was not called (no AIARK_API_KEY). Email and phone columns are empty. Re-run with the key to fill them.</t>
        </is>
      </c>
    </row>
    <row r="16">
      <c r="A16" s="6" t="inlineStr">
        <is>
          <t>Source Variant = input file (A-D by sorted filename); A+B means the person appeared in both and was merged.</t>
        </is>
      </c>
    </row>
    <row r="17">
      <c r="A17" s="6" t="inlineStr">
        <is>
          <t>Enrichment Status: email+phone / email_only / phone_only (matched by linkedin or name_company), not_found, insufficient_input, error_&lt;http status&gt;.</t>
        </is>
      </c>
    </row>
    <row r="18">
      <c r="A18" s="6" t="inlineStr">
        <is>
          <t>Email Confidence: high = verified VALID, medium = catch-all domain, low = unverified/risky.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2026-09-29T20:10:18Z</dcterms:created>
  <dcterms:modified xsi:type="dcterms:W3CDTF">2026-09-29T20:10:18Z</dcterms:modified>
</cp:coreProperties>
</file>